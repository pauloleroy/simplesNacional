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5e516fced229401/Documentos/Programas_e_Planilhas/Simples_Nacional/Planilhas/"/>
    </mc:Choice>
  </mc:AlternateContent>
  <xr:revisionPtr revIDLastSave="31774" documentId="8_{1794D700-E329-42CA-9BE3-A89CD1AE48F6}" xr6:coauthVersionLast="47" xr6:coauthVersionMax="47" xr10:uidLastSave="{B5673916-71A1-40AD-8541-7EA219345851}"/>
  <bookViews>
    <workbookView xWindow="2415" yWindow="2415" windowWidth="28800" windowHeight="11175" xr2:uid="{19EC720D-8309-4539-B9F8-E54B5D27F753}"/>
  </bookViews>
  <sheets>
    <sheet name="Lancamentos" sheetId="1" r:id="rId1"/>
    <sheet name="Resumo" sheetId="2" r:id="rId2"/>
    <sheet name="Calc_Simples" sheetId="9" r:id="rId3"/>
    <sheet name="Valor_Guia" sheetId="10" state="hidden" r:id="rId4"/>
    <sheet name="Fator_R" sheetId="11" r:id="rId5"/>
    <sheet name="Empresa" sheetId="8" r:id="rId6"/>
    <sheet name="ANEXO I" sheetId="3" state="hidden" r:id="rId7"/>
    <sheet name="ANEXO II" sheetId="4" state="hidden" r:id="rId8"/>
    <sheet name="ANEXO III" sheetId="5" state="hidden" r:id="rId9"/>
    <sheet name="ANEXO IV" sheetId="6" state="hidden" r:id="rId10"/>
    <sheet name="ANEXO V" sheetId="7" state="hidden" r:id="rId11"/>
  </sheets>
  <functionGroups builtInGroupCount="19"/>
  <externalReferences>
    <externalReference r:id="rId12"/>
  </externalReferences>
  <definedNames>
    <definedName name="ListaCnpj" localSheetId="4">OFFSET([1]Empresa!$B$2, 0, 0, 1, COUNTA([1]Empresa!$B$2:$Z$2))</definedName>
    <definedName name="ListaCnpj">OFFSET(Empresa!$B$2, 0, 0, 1, COUNTA(Empresa!$B$2:$Z$2))</definedName>
    <definedName name="ListaSocios" localSheetId="4">OFFSET([1]Empresa!$B$4, 0, 0, 1, COUNTA([1]Empresa!$B$4:$Z$4))</definedName>
    <definedName name="ListaSocios">OFFSET(Empresa!$B$4, 0, 0, 1, COUNTA(Empresa!$B$4:$Z$4))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1" l="1"/>
  <c r="G2" i="11" l="1" a="1"/>
  <c r="G2" i="11" s="1"/>
  <c r="E2" i="11"/>
  <c r="D2" i="11"/>
  <c r="E1" i="1"/>
  <c r="A1" i="1"/>
  <c r="F2" i="1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<sst xmlns="http://schemas.openxmlformats.org/spreadsheetml/2006/main" count="272" uniqueCount="72">
  <si>
    <t>NF</t>
  </si>
  <si>
    <t>Mes</t>
  </si>
  <si>
    <t>Iss Retido</t>
  </si>
  <si>
    <t>Filial</t>
  </si>
  <si>
    <t>Devolucao</t>
  </si>
  <si>
    <t>ANEXO I - Tabela Simples Nacional 2018 - Comércio</t>
  </si>
  <si>
    <t>Faixa</t>
  </si>
  <si>
    <t>De (R$)</t>
  </si>
  <si>
    <t>Até (R$)</t>
  </si>
  <si>
    <t>Alíquota</t>
  </si>
  <si>
    <t>Valor a Deduzir (R$)</t>
  </si>
  <si>
    <t>IRPJ</t>
  </si>
  <si>
    <t>CSLL</t>
  </si>
  <si>
    <t>Cofins</t>
  </si>
  <si>
    <t>PIS/Pasep</t>
  </si>
  <si>
    <t>CPP</t>
  </si>
  <si>
    <t>ICMS</t>
  </si>
  <si>
    <t>1a Faixa</t>
  </si>
  <si>
    <t>2a Faixa</t>
  </si>
  <si>
    <t>3a Faixa</t>
  </si>
  <si>
    <t>4a Faixa</t>
  </si>
  <si>
    <t>5a Faixa</t>
  </si>
  <si>
    <t>6a faixa</t>
  </si>
  <si>
    <t>Mês</t>
  </si>
  <si>
    <t>RBT 12</t>
  </si>
  <si>
    <t>Alíq. Nominal</t>
  </si>
  <si>
    <t>Valor</t>
  </si>
  <si>
    <t>Desconto</t>
  </si>
  <si>
    <t>Alíq. Efetiva</t>
  </si>
  <si>
    <t>ANEXO II - Tabela Simples Nacional 2018 - Indústria</t>
  </si>
  <si>
    <t>IPI</t>
  </si>
  <si>
    <t>ANEXO III - Tabela Simples Nacional 2018 - Serviços</t>
  </si>
  <si>
    <t>ISS</t>
  </si>
  <si>
    <t>ANEXO IV - Tabela Simples Nacional 2018 - Serviços</t>
  </si>
  <si>
    <t>ANEXO V - Tabela Simples Nacional 2018 - Serviços</t>
  </si>
  <si>
    <t>Empresa</t>
  </si>
  <si>
    <t>CNPJ</t>
  </si>
  <si>
    <t>Socio</t>
  </si>
  <si>
    <t>Cancelada</t>
  </si>
  <si>
    <t>Sim</t>
  </si>
  <si>
    <t>Não</t>
  </si>
  <si>
    <t>MES</t>
  </si>
  <si>
    <t>COM_RETENCAO</t>
  </si>
  <si>
    <t>SEM_RETENCAO</t>
  </si>
  <si>
    <t>FAT_BRUTO</t>
  </si>
  <si>
    <t>DEVOLUCAO</t>
  </si>
  <si>
    <t>FAT_LIQUIDO</t>
  </si>
  <si>
    <t xml:space="preserve"> </t>
  </si>
  <si>
    <t>NF_FALTANTES</t>
  </si>
  <si>
    <t>ANEXO</t>
  </si>
  <si>
    <t>RBT12</t>
  </si>
  <si>
    <t>VR_SIMPLES</t>
  </si>
  <si>
    <t>VR_GUIA</t>
  </si>
  <si>
    <t>FAT_LIQ</t>
  </si>
  <si>
    <t>Anexo</t>
  </si>
  <si>
    <t>Anexos</t>
  </si>
  <si>
    <t>I</t>
  </si>
  <si>
    <t>II</t>
  </si>
  <si>
    <t>III</t>
  </si>
  <si>
    <t>IV</t>
  </si>
  <si>
    <t>V</t>
  </si>
  <si>
    <t>ALIQ</t>
  </si>
  <si>
    <t>ISS_RETIDO</t>
  </si>
  <si>
    <t>VALOR_GUIA</t>
  </si>
  <si>
    <t>Profissional Liberal</t>
  </si>
  <si>
    <t>Padrão</t>
  </si>
  <si>
    <t>nomeEmpresa</t>
  </si>
  <si>
    <t>FOLHA</t>
  </si>
  <si>
    <t>FAT</t>
  </si>
  <si>
    <t>FOLHA_12</t>
  </si>
  <si>
    <t>FAT_12</t>
  </si>
  <si>
    <t>FATOR_R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</si>
</sst>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mmm/yy;@"/>
    <numFmt numFmtId="165" formatCode="&quot; &quot;00&quot;.&quot;000&quot;.&quot;000&quot;/&quot;0000\-00"/>
    <numFmt numFmtId="166" formatCode="mm/yyyy"/>
  </numFmts>
  <fonts count="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4"/>
      <color theme="4"/>
      <name val="Aptos ExtraBold"/>
      <family val="2"/>
    </font>
    <font>
      <sz val="8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9">
    <xf numFmtId="0" fontId="0" fillId="0" borderId="0" xfId="0"/>
    <xf numFmtId="0" fontId="0" fillId="2" borderId="0" xfId="0" applyFill="1"/>
    <xf numFmtId="4" fontId="0" fillId="0" borderId="0" xfId="0" applyNumberFormat="1"/>
    <xf numFmtId="10" fontId="0" fillId="0" borderId="0" xfId="1" applyNumberFormat="1" applyFont="1"/>
    <xf numFmtId="164" fontId="0" fillId="0" borderId="1" xfId="0" applyNumberFormat="1" applyBorder="1"/>
    <xf numFmtId="4" fontId="0" fillId="0" borderId="1" xfId="0" applyNumberFormat="1" applyBorder="1"/>
    <xf numFmtId="10" fontId="0" fillId="0" borderId="1" xfId="1" applyNumberFormat="1" applyFont="1" applyBorder="1"/>
    <xf numFmtId="10" fontId="0" fillId="0" borderId="0" xfId="0" applyNumberFormat="1"/>
    <xf numFmtId="164" fontId="0" fillId="0" borderId="0" xfId="0" applyNumberFormat="1"/>
    <xf numFmtId="0" fontId="0" fillId="3" borderId="0" xfId="0" applyFill="1"/>
    <xf numFmtId="0" fontId="0" fillId="0" borderId="0" xfId="1" applyNumberFormat="1" applyFont="1"/>
    <xf numFmtId="0" fontId="0" fillId="4" borderId="0" xfId="0" applyFill="1"/>
    <xf numFmtId="10" fontId="0" fillId="0" borderId="1" xfId="0" applyNumberFormat="1" applyBorder="1"/>
    <xf numFmtId="0" fontId="0" fillId="5" borderId="0" xfId="0" applyFill="1"/>
    <xf numFmtId="0" fontId="0" fillId="6" borderId="0" xfId="0" applyFill="1"/>
    <xf numFmtId="165" fontId="0" fillId="0" borderId="0" xfId="0" applyNumberFormat="1"/>
    <xf numFmtId="14" fontId="0" fillId="0" borderId="0" xfId="0" applyNumberFormat="1" applyAlignment="1">
      <alignment horizontal="right"/>
    </xf>
    <xf numFmtId="14" fontId="0" fillId="0" borderId="0" xfId="0" applyNumberFormat="1" applyAlignment="1">
      <alignment horizontal="center" vertical="center"/>
    </xf>
    <xf numFmtId="0" fontId="0" fillId="0" borderId="1" xfId="0" applyBorder="1"/>
    <xf numFmtId="0" fontId="2" fillId="8" borderId="2" xfId="0" applyFont="1" applyFill="1" applyBorder="1"/>
    <xf numFmtId="166" fontId="0" fillId="0" borderId="0" xfId="0" applyNumberFormat="1"/>
    <xf numFmtId="17" fontId="0" fillId="0" borderId="0" xfId="0" applyNumberFormat="1"/>
    <xf numFmtId="0" fontId="2" fillId="9" borderId="6" xfId="0" applyFont="1" applyFill="1" applyBorder="1"/>
    <xf numFmtId="0" fontId="2" fillId="9" borderId="7" xfId="0" applyFont="1" applyFill="1" applyBorder="1"/>
    <xf numFmtId="165" fontId="0" fillId="0" borderId="1" xfId="0" applyNumberFormat="1" applyBorder="1"/>
    <xf numFmtId="14" fontId="0" fillId="0" borderId="1" xfId="0" applyNumberFormat="1" applyBorder="1"/>
    <xf numFmtId="10" fontId="2" fillId="9" borderId="7" xfId="0" applyNumberFormat="1" applyFont="1" applyFill="1" applyBorder="1"/>
    <xf numFmtId="10" fontId="2" fillId="9" borderId="8" xfId="0" applyNumberFormat="1" applyFont="1" applyFill="1" applyBorder="1"/>
    <xf numFmtId="0" fontId="0" fillId="10" borderId="0" xfId="0" applyFill="1"/>
    <xf numFmtId="0" fontId="0" fillId="0" borderId="0" xfId="0" quotePrefix="1"/>
    <xf numFmtId="0" fontId="3" fillId="7" borderId="5" xfId="0" applyFont="1" applyFill="1" applyBorder="1" applyAlignment="1">
      <alignment vertical="center"/>
    </xf>
    <xf numFmtId="165" fontId="3" fillId="7" borderId="4" xfId="0" applyNumberFormat="1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0" fontId="3" fillId="7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</cellXfs>
  <cellStyles count="2">
    <cellStyle name="Normal" xfId="0" builtinId="0"/>
    <cellStyle name="Porcentagem" xfId="1" builtinId="5"/>
  </cellStyles>
  <dxfs count="145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4" formatCode="#,##0.00"/>
    </dxf>
    <dxf>
      <numFmt numFmtId="4" formatCode="#,##0.00"/>
    </dxf>
    <dxf>
      <numFmt numFmtId="14" formatCode="0.00%"/>
    </dxf>
    <dxf>
      <numFmt numFmtId="4" formatCode="#,##0.00"/>
    </dxf>
    <dxf>
      <numFmt numFmtId="164" formatCode="[$-409]mmm/yy;@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4" formatCode="#,##0.00"/>
    </dxf>
    <dxf>
      <numFmt numFmtId="14" formatCode="0.00%"/>
    </dxf>
    <dxf>
      <numFmt numFmtId="4" formatCode="#,##0.00"/>
    </dxf>
    <dxf>
      <numFmt numFmtId="4" formatCode="#,##0.00"/>
    </dxf>
    <dxf>
      <fill>
        <patternFill patternType="solid">
          <fgColor indexed="64"/>
          <bgColor theme="9" tint="-0.249977111117893"/>
        </patternFill>
      </fill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4" formatCode="#,##0.00"/>
    </dxf>
    <dxf>
      <numFmt numFmtId="4" formatCode="#,##0.00"/>
    </dxf>
    <dxf>
      <numFmt numFmtId="14" formatCode="0.00%"/>
    </dxf>
    <dxf>
      <numFmt numFmtId="4" formatCode="#,##0.00"/>
    </dxf>
    <dxf>
      <numFmt numFmtId="164" formatCode="[$-409]mmm/yy;@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4" formatCode="#,##0.00"/>
    </dxf>
    <dxf>
      <numFmt numFmtId="14" formatCode="0.00%"/>
    </dxf>
    <dxf>
      <numFmt numFmtId="4" formatCode="#,##0.00"/>
    </dxf>
    <dxf>
      <numFmt numFmtId="4" formatCode="#,##0.00"/>
    </dxf>
    <dxf>
      <fill>
        <patternFill patternType="solid">
          <fgColor indexed="64"/>
          <bgColor rgb="FFC00000"/>
        </patternFill>
      </fill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4" formatCode="#,##0.00"/>
    </dxf>
    <dxf>
      <numFmt numFmtId="4" formatCode="#,##0.00"/>
    </dxf>
    <dxf>
      <numFmt numFmtId="14" formatCode="0.00%"/>
    </dxf>
    <dxf>
      <numFmt numFmtId="4" formatCode="#,##0.00"/>
    </dxf>
    <dxf>
      <numFmt numFmtId="164" formatCode="[$-409]mmm/yy;@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4" formatCode="#,##0.00"/>
    </dxf>
    <dxf>
      <numFmt numFmtId="14" formatCode="0.00%"/>
    </dxf>
    <dxf>
      <numFmt numFmtId="4" formatCode="#,##0.00"/>
    </dxf>
    <dxf>
      <numFmt numFmtId="4" formatCode="#,##0.00"/>
    </dxf>
    <dxf>
      <fill>
        <patternFill patternType="solid">
          <fgColor indexed="64"/>
          <bgColor theme="5"/>
        </patternFill>
      </fill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4" formatCode="#,##0.00"/>
    </dxf>
    <dxf>
      <numFmt numFmtId="4" formatCode="#,##0.00"/>
    </dxf>
    <dxf>
      <numFmt numFmtId="14" formatCode="0.00%"/>
    </dxf>
    <dxf>
      <numFmt numFmtId="4" formatCode="#,##0.00"/>
    </dxf>
    <dxf>
      <numFmt numFmtId="164" formatCode="[$-409]mmm/yy;@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4" formatCode="#,##0.00"/>
    </dxf>
    <dxf>
      <numFmt numFmtId="14" formatCode="0.00%"/>
    </dxf>
    <dxf>
      <numFmt numFmtId="4" formatCode="#,##0.00"/>
    </dxf>
    <dxf>
      <numFmt numFmtId="4" formatCode="#,##0.00"/>
    </dxf>
    <dxf>
      <fill>
        <patternFill patternType="solid">
          <fgColor indexed="64"/>
          <bgColor theme="4"/>
        </patternFill>
      </fill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4" formatCode="#,##0.00"/>
    </dxf>
    <dxf>
      <numFmt numFmtId="4" formatCode="#,##0.00"/>
    </dxf>
    <dxf>
      <numFmt numFmtId="14" formatCode="0.00%"/>
    </dxf>
    <dxf>
      <numFmt numFmtId="4" formatCode="#,##0.00"/>
    </dxf>
    <dxf>
      <numFmt numFmtId="164" formatCode="[$-409]mmm/yy;@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4" formatCode="#,##0.00"/>
    </dxf>
    <dxf>
      <numFmt numFmtId="14" formatCode="0.00%"/>
    </dxf>
    <dxf>
      <numFmt numFmtId="4" formatCode="#,##0.00"/>
    </dxf>
    <dxf>
      <numFmt numFmtId="4" formatCode="#,##0.00"/>
    </dxf>
    <dxf>
      <fill>
        <patternFill patternType="solid">
          <fgColor indexed="64"/>
          <bgColor theme="7" tint="-0.249977111117893"/>
        </patternFill>
      </fill>
    </dxf>
    <dxf>
      <numFmt numFmtId="14" formatCode="0.00%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22" formatCode="mmm/yy"/>
    </dxf>
    <dxf>
      <numFmt numFmtId="4" formatCode="#,##0.00"/>
    </dxf>
    <dxf>
      <numFmt numFmtId="22" formatCode="mmm/yy"/>
    </dxf>
    <dxf>
      <numFmt numFmtId="4" formatCode="#,##0.00"/>
    </dxf>
    <dxf>
      <numFmt numFmtId="4" formatCode="#,##0.00"/>
    </dxf>
    <dxf>
      <numFmt numFmtId="14" formatCode="0.00%"/>
    </dxf>
    <dxf>
      <numFmt numFmtId="14" formatCode="0.00%"/>
    </dxf>
    <dxf>
      <numFmt numFmtId="4" formatCode="#,##0.00"/>
    </dxf>
    <dxf>
      <numFmt numFmtId="4" formatCode="#,##0.00"/>
    </dxf>
    <dxf>
      <numFmt numFmtId="4" formatCode="#,##0.00"/>
    </dxf>
    <dxf>
      <numFmt numFmtId="0" formatCode="General"/>
    </dxf>
    <dxf>
      <numFmt numFmtId="0" formatCode="General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65" formatCode="&quot; &quot;00&quot;.&quot;000&quot;.&quot;000&quot;/&quot;0000\-00"/>
    </dxf>
    <dxf>
      <numFmt numFmtId="166" formatCode="mm/yyyy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9" formatCode="dd/mm/yyyy"/>
      <alignment horizontal="right" vertical="bottom" textRotation="0" wrapText="0" indent="0" justifyLastLine="0" shrinkToFit="0" readingOrder="0"/>
    </dxf>
    <dxf>
      <numFmt numFmtId="165" formatCode="&quot; &quot;00&quot;.&quot;000&quot;.&quot;000&quot;/&quot;0000\-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292100</xdr:colOff>
      <xdr:row>3</xdr:row>
      <xdr:rowOff>107950</xdr:rowOff>
    </xdr:from>
    <xdr:to>
      <xdr:col>7</xdr:col>
      <xdr:colOff>749300</xdr:colOff>
      <xdr:row>4</xdr:row>
      <xdr:rowOff>139700</xdr:rowOff>
    </xdr:to>
    <xdr:sp macro="[0]!LançarDadosNaTabe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623272A-8A46-C3DD-092D-F0D9C19CA411}"/>
            </a:ext>
          </a:extLst>
        </xdr:cNvPr>
        <xdr:cNvSpPr/>
      </xdr:nvSpPr>
      <xdr:spPr>
        <a:xfrm>
          <a:off x="5753100" y="901700"/>
          <a:ext cx="1270000" cy="3302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Lançar Notas</a:t>
          </a:r>
        </a:p>
      </xdr:txBody>
    </xdr:sp>
    <xdr:clientData/>
  </xdr:twoCellAnchor>
  <xdr:twoCellAnchor>
    <xdr:from>
      <xdr:col>0</xdr:col>
      <xdr:colOff>133350</xdr:colOff>
      <xdr:row>3</xdr:row>
      <xdr:rowOff>107950</xdr:rowOff>
    </xdr:from>
    <xdr:to>
      <xdr:col>1</xdr:col>
      <xdr:colOff>400050</xdr:colOff>
      <xdr:row>4</xdr:row>
      <xdr:rowOff>139700</xdr:rowOff>
    </xdr:to>
    <xdr:sp macro="[0]!ProcessarMultiplasNotasFiscaisParaTabela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F0D0BDA-DD8D-460E-8152-053B0F3A2132}"/>
            </a:ext>
          </a:extLst>
        </xdr:cNvPr>
        <xdr:cNvSpPr/>
      </xdr:nvSpPr>
      <xdr:spPr>
        <a:xfrm>
          <a:off x="133350" y="901700"/>
          <a:ext cx="1270000" cy="3302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Carregar Notas</a:t>
          </a:r>
        </a:p>
      </xdr:txBody>
    </xdr:sp>
    <xdr:clientData/>
  </xdr:twoCellAnchor>
  <xdr:twoCellAnchor editAs="oneCell">
    <xdr:from>
      <xdr:col>7</xdr:col>
      <xdr:colOff>285750</xdr:colOff>
      <xdr:row>0</xdr:row>
      <xdr:rowOff>76200</xdr:rowOff>
    </xdr:from>
    <xdr:to>
      <xdr:col>7</xdr:col>
      <xdr:colOff>552450</xdr:colOff>
      <xdr:row>0</xdr:row>
      <xdr:rowOff>342900</xdr:rowOff>
    </xdr:to>
    <xdr:pic macro="[0]!ConsolidarDados">
      <xdr:nvPicPr>
        <xdr:cNvPr id="4" name="Imagem 3">
          <a:extLst>
            <a:ext uri="{FF2B5EF4-FFF2-40B4-BE49-F238E27FC236}">
              <a16:creationId xmlns:a16="http://schemas.microsoft.com/office/drawing/2014/main" id="{BCDCC8E4-A267-888F-ACF8-C504A6854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00800" y="76200"/>
          <a:ext cx="266700" cy="266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171450</xdr:colOff>
      <xdr:row>0</xdr:row>
      <xdr:rowOff>47625</xdr:rowOff>
    </xdr:from>
    <xdr:to>
      <xdr:col>9</xdr:col>
      <xdr:colOff>438150</xdr:colOff>
      <xdr:row>0</xdr:row>
      <xdr:rowOff>314325</xdr:rowOff>
    </xdr:to>
    <xdr:pic macro="[0]!ConsolidarDados">
      <xdr:nvPicPr>
        <xdr:cNvPr id="2" name="Imagem 1">
          <a:extLst>
            <a:ext uri="{FF2B5EF4-FFF2-40B4-BE49-F238E27FC236}">
              <a16:creationId xmlns:a16="http://schemas.microsoft.com/office/drawing/2014/main" id="{418E4EE4-F3BC-46BA-AD10-9382F4B0E4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34375" y="47625"/>
          <a:ext cx="266700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219076</xdr:colOff>
      <xdr:row>0</xdr:row>
      <xdr:rowOff>142876</xdr:rowOff>
    </xdr:from>
    <xdr:to>
      <xdr:col>9</xdr:col>
      <xdr:colOff>504826</xdr:colOff>
      <xdr:row>0</xdr:row>
      <xdr:rowOff>428626</xdr:rowOff>
    </xdr:to>
    <xdr:pic macro="[0]!AtualizarTabelaGuia">
      <xdr:nvPicPr>
        <xdr:cNvPr id="3" name="Imagem 2">
          <a:extLst>
            <a:ext uri="{FF2B5EF4-FFF2-40B4-BE49-F238E27FC236}">
              <a16:creationId xmlns:a16="http://schemas.microsoft.com/office/drawing/2014/main" id="{3882DC07-8BCA-EF22-F828-5787E5B050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10501" y="142876"/>
          <a:ext cx="285750" cy="285750"/>
        </a:xfrm>
        <a:prstGeom prst="rect">
          <a:avLst/>
        </a:prstGeom>
      </xdr:spPr>
    </xdr:pic>
    <xdr:clientData/>
  </xdr:twoCellAnchor>
  <xdr:twoCellAnchor editAs="oneCell">
    <xdr:from>
      <xdr:col>10</xdr:col>
      <xdr:colOff>104775</xdr:colOff>
      <xdr:row>0</xdr:row>
      <xdr:rowOff>152400</xdr:rowOff>
    </xdr:from>
    <xdr:to>
      <xdr:col>10</xdr:col>
      <xdr:colOff>371475</xdr:colOff>
      <xdr:row>0</xdr:row>
      <xdr:rowOff>419100</xdr:rowOff>
    </xdr:to>
    <xdr:pic macro="[0]!ConsolidarDados">
      <xdr:nvPicPr>
        <xdr:cNvPr id="2" name="Imagem 1">
          <a:extLst>
            <a:ext uri="{FF2B5EF4-FFF2-40B4-BE49-F238E27FC236}">
              <a16:creationId xmlns:a16="http://schemas.microsoft.com/office/drawing/2014/main" id="{18B58FB1-5A4C-4596-B52A-CD3FB4308B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305800" y="152400"/>
          <a:ext cx="266700" cy="2667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c5e516fced229401/Documentos/Simples%20Nacional/Planilhas%20Lancadas/MS%20MEDICAL.xlsm" TargetMode="External"/><Relationship Id="rId1" Type="http://schemas.openxmlformats.org/officeDocument/2006/relationships/externalLinkPath" Target="Planilhas%20Lancadas/MS%20MEDIC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Lancamentos"/>
      <sheetName val="Resumo"/>
      <sheetName val="Calc_Simples"/>
      <sheetName val="Por_Socio"/>
      <sheetName val="Fator_R"/>
      <sheetName val="Valor_Guia"/>
      <sheetName val="Empresa"/>
      <sheetName val="ANEXO I"/>
      <sheetName val="ANEXO II"/>
      <sheetName val="ANEXO III"/>
      <sheetName val="ANEXO IV"/>
      <sheetName val="ANEXO V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>
        <row r="2">
          <cell r="B2">
            <v>37851556000100</v>
          </cell>
        </row>
        <row r="4">
          <cell r="B4" t="str">
            <v>ANDRÉ</v>
          </cell>
          <cell r="C4" t="str">
            <v>LUCAS</v>
          </cell>
          <cell r="D4" t="str">
            <v>LUCIANA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C526C64-F448-441C-A17C-E758B8C7974F}" name="TabelaDados" displayName="TabelaDados" ref="A6:H7" insertRow="1" totalsRowShown="0">
  <autoFilter ref="A6:H7" xr:uid="{DC526C64-F448-441C-A17C-E758B8C7974F}"/>
  <tableColumns count="8">
    <tableColumn id="1" xr3:uid="{06508B1F-E8D1-48AE-B936-0EE3F9E77DA8}" name="NF"/>
    <tableColumn id="2" xr3:uid="{B41591D2-379D-4102-93D9-0A5BF8E09A2F}" name="Filial" dataDxfId="144"/>
    <tableColumn id="3" xr3:uid="{69EC8803-66B3-442B-9A60-FAEB6E397CFC}" name="Mes" dataDxfId="143"/>
    <tableColumn id="4" xr3:uid="{E08121FE-3632-4ABF-9B6A-391BE1D6B84B}" name="Valor" dataDxfId="142"/>
    <tableColumn id="5" xr3:uid="{6C95E2EA-125E-4F50-8DCB-84C6AF7839F4}" name="Iss Retido" dataDxfId="141"/>
    <tableColumn id="6" xr3:uid="{019E35E4-D395-4248-9EAE-3B505D8EC48C}" name="Devolucao" dataDxfId="140"/>
    <tableColumn id="8" xr3:uid="{B6B719C7-4D70-4435-A4AF-3B311B3F68F6}" name="Cancelada" dataDxfId="139"/>
    <tableColumn id="7" xr3:uid="{FD76F569-C571-4EFD-B35F-1B268F60995A}" name="Socio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7BEDBC7-E02E-425A-AEBE-9D3C0D08CF50}" name="TabelaConsolidada" displayName="TabelaConsolidada" ref="A1:I2" insertRow="1" totalsRowShown="0">
  <autoFilter ref="A1:I2" xr:uid="{87BEDBC7-E02E-425A-AEBE-9D3C0D08CF50}"/>
  <tableColumns count="9">
    <tableColumn id="1" xr3:uid="{6DA8F436-3D71-42C3-B106-708988452244}" name="MES" dataDxfId="138"/>
    <tableColumn id="2" xr3:uid="{F378E62C-405C-45EF-A5E1-7AD55C2C7AAA}" name="CNPJ" dataDxfId="137"/>
    <tableColumn id="3" xr3:uid="{1ACDAA72-3C13-40EB-8963-19062CA19639}" name="COM_RETENCAO" dataDxfId="136"/>
    <tableColumn id="4" xr3:uid="{4690F5F0-84DF-4BA9-A3B6-3666C52A62DA}" name="SEM_RETENCAO" dataDxfId="135"/>
    <tableColumn id="5" xr3:uid="{4476190A-CDBD-474F-AD99-B76D57AB5488}" name="FAT_BRUTO" dataDxfId="134"/>
    <tableColumn id="6" xr3:uid="{27416A63-4B1F-48FC-9519-143727014AC3}" name="DEVOLUCAO" dataDxfId="133"/>
    <tableColumn id="7" xr3:uid="{23D392B8-A453-493E-BE73-D4D2FE4CE812}" name="FAT_LIQUIDO" dataDxfId="132"/>
    <tableColumn id="8" xr3:uid="{13FF9888-311D-4C4C-B33D-677349553CBC}" name="NF" dataDxfId="131"/>
    <tableColumn id="10" xr3:uid="{5508CCCB-50D2-40E1-A4C0-2D1234636681}" name="NF_FALTANTES" dataDxfId="130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EC1B703-F2E1-46F6-85DF-6AB36CDA9DF6}" name="TabelaMensal" displayName="TabelaMensal" ref="A1:I2" insertRow="1" totalsRowShown="0">
  <autoFilter ref="A1:I2" xr:uid="{7EC1B703-F2E1-46F6-85DF-6AB36CDA9DF6}"/>
  <tableColumns count="9">
    <tableColumn id="1" xr3:uid="{E4B458E2-15D2-48C2-B392-1986D41480DE}" name="MES"/>
    <tableColumn id="2" xr3:uid="{3B84EDCB-3AC1-4A23-B64A-A81DCA01A74F}" name="ANEXO"/>
    <tableColumn id="6" xr3:uid="{BEB08AA8-0223-4D2F-A70D-29A78DAA6E1E}" name="FAT_LIQ" dataDxfId="129"/>
    <tableColumn id="3" xr3:uid="{71C9F71C-F7F0-4652-BFC0-87DAC9FBAC90}" name="RBT12" dataDxfId="128"/>
    <tableColumn id="10" xr3:uid="{5DA9E5E3-8A4F-46D0-A88E-C4914951E2FC}" name="ISS_RETIDO" dataDxfId="127"/>
    <tableColumn id="7" xr3:uid="{2B715351-1634-4E5D-8345-BFB483357CD2}" name="ALIQ" dataDxfId="126"/>
    <tableColumn id="8" xr3:uid="{49FDD7CF-E034-41BC-A0DB-3A36D6AFDF4B}" name="ISS" dataDxfId="125"/>
    <tableColumn id="4" xr3:uid="{14161512-307A-4AFF-AAB4-B1675B19FB4F}" name="VR_SIMPLES" dataDxfId="124"/>
    <tableColumn id="5" xr3:uid="{C5B9B9EF-0EF3-452E-A956-4BAC37334136}" name="VR_GUIA" dataDxfId="123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20948FC-F910-4EC2-9723-5EFB505BC18A}" name="TabelaGuia" displayName="TabelaGuia" ref="A1:B2" insertRow="1" totalsRowShown="0">
  <autoFilter ref="A1:B2" xr:uid="{320948FC-F910-4EC2-9723-5EFB505BC18A}"/>
  <tableColumns count="2">
    <tableColumn id="1" xr3:uid="{4907D820-A4FF-4C1F-AD34-CE51E8C247C7}" name="MES" dataDxfId="122"/>
    <tableColumn id="2" xr3:uid="{907E8001-ADA3-46A7-9364-D8C1545FF883}" name="VALOR_GUIA" dataDxfId="12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E3253DA5-CF56-41EF-BF72-813153F4C69B}" name="Tabela16" displayName="Tabela16" ref="A1:F2" totalsRowShown="0">
  <autoFilter ref="A1:F2" xr:uid="{02C1A335-5A00-48A7-8843-04B7C64B1FC5}"/>
  <sortState xmlns:xlrd2="http://schemas.microsoft.com/office/spreadsheetml/2017/richdata2" ref="A2:F2">
    <sortCondition ref="A1:A2"/>
  </sortState>
  <tableColumns count="6">
    <tableColumn id="1" xr3:uid="{84EFDC57-1AA3-44CE-BEAD-B5D3EDE8483A}" name="MES" dataDxfId="120"/>
    <tableColumn id="2" xr3:uid="{1D076DBF-265E-4BC2-B737-764318513F27}" name="FOLHA" dataDxfId="119"/>
    <tableColumn id="6" xr3:uid="{9BA91BD3-0F5D-427A-AB16-CF4673E5FD3F}" name="FAT" dataDxfId="118">
      <calculatedColumnFormula>VLOOKUP(Tabela16[[#This Row],[MES]],TabelaMensal[],3,FALSE)</calculatedColumnFormula>
    </tableColumn>
    <tableColumn id="3" xr3:uid="{6A2617C9-E3FB-403E-9445-075EFEA9A6EA}" name="FOLHA_12" dataDxfId="117">
      <calculatedColumnFormula>SUMIFS(B:B, A:A, "&gt;="&amp;DATE(YEAR(A2),MONTH(A2)-11,1), A:A, "&lt;="&amp;EOMONTH(A2,0))</calculatedColumnFormula>
    </tableColumn>
    <tableColumn id="4" xr3:uid="{179CB197-F3E3-4D2E-B8FE-92527A57CE3F}" name="FAT_12" dataDxfId="116">
      <calculatedColumnFormula>SUMIFS(C:C,A:A,"&gt;="&amp;DATE(YEAR(A2),MONTH(A2)-11,1),A:A,"&lt;="&amp;EOMONTH(A2,0))</calculatedColumnFormula>
    </tableColumn>
    <tableColumn id="5" xr3:uid="{BE09280C-F6C5-4F5A-94AB-486EAE21441B}" name="FATOR_R" dataDxfId="115">
      <calculatedColumnFormula>IFERROR(Tabela16[[#This Row],[FOLHA_12]]/Tabela16[[#This Row],[FAT_12]],"")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0E631A0-6B73-4CCC-821C-E722CE5F7413}" name="Tabela469" displayName="Tabela469" ref="A3:K9" totalsRowShown="0" headerRowDxfId="114">
  <autoFilter ref="A3:K9" xr:uid="{00000000-0009-0000-0100-000008000000}"/>
  <tableColumns count="11">
    <tableColumn id="1" xr3:uid="{74E2BC58-AB22-4615-8B74-944C5677B6AD}" name="Faixa"/>
    <tableColumn id="2" xr3:uid="{99DF7102-88AF-4953-BF71-E65A7DB30698}" name="De (R$)" dataDxfId="113"/>
    <tableColumn id="3" xr3:uid="{FCB24760-7444-4C97-BF38-46A2F0883F4B}" name="Até (R$)" dataDxfId="112"/>
    <tableColumn id="4" xr3:uid="{3F733E78-2D72-4351-BA7B-76F151C7AE45}" name="Alíquota" dataDxfId="111" dataCellStyle="Porcentagem"/>
    <tableColumn id="5" xr3:uid="{9A0BDDBA-AECF-458A-8CBF-F6FABCF055AC}" name="Valor a Deduzir (R$)" dataDxfId="110"/>
    <tableColumn id="6" xr3:uid="{D8A75C53-143D-4605-A92C-05EFFEC75157}" name="IRPJ" dataDxfId="109" dataCellStyle="Porcentagem"/>
    <tableColumn id="7" xr3:uid="{D13B8FA3-22D2-46EB-A411-271334B28416}" name="CSLL" dataDxfId="108" dataCellStyle="Porcentagem"/>
    <tableColumn id="8" xr3:uid="{4AD5B91D-2CBD-408A-A708-F7313DA6ED86}" name="Cofins" dataDxfId="107" dataCellStyle="Porcentagem"/>
    <tableColumn id="9" xr3:uid="{574BAC8B-9D83-4139-A231-EBDAC17FE98E}" name="PIS/Pasep" dataDxfId="106" dataCellStyle="Porcentagem"/>
    <tableColumn id="10" xr3:uid="{1C27301D-84B5-4F34-A765-BFBC206F19BB}" name="CPP" dataDxfId="105" dataCellStyle="Porcentagem"/>
    <tableColumn id="11" xr3:uid="{DDD1EFBF-03C4-4C1A-A396-4252A4C53AE3}" name="ICMS" dataDxfId="104" dataCellStyle="Porcentagem"/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4E04945-6361-4157-97BF-BE6CEC95F97B}" name="ANEXO1" displayName="ANEXO1" ref="A14:L15" insertRow="1" totalsRowShown="0">
  <autoFilter ref="A14:L15" xr:uid="{00000000-0009-0000-0100-000009000000}"/>
  <tableColumns count="12">
    <tableColumn id="1" xr3:uid="{FF600CE7-35E8-4A41-82EC-D6DB7C4AB574}" name="Mês" dataDxfId="103"/>
    <tableColumn id="2" xr3:uid="{CA3A996E-B7C2-4021-9E37-DE58ADF6055A}" name="RBT 12" dataDxfId="102"/>
    <tableColumn id="3" xr3:uid="{EACC6524-3CC2-4B04-BBA5-4DFDBBA032AC}" name="Alíq. Nominal" dataDxfId="101"/>
    <tableColumn id="4" xr3:uid="{1B5FC7F2-EDDB-4C4B-B1FA-CD209E0233C2}" name="Valor" dataDxfId="100"/>
    <tableColumn id="5" xr3:uid="{028D8D5D-89C0-4030-8E81-E1772EC839CA}" name="Desconto" dataDxfId="99"/>
    <tableColumn id="6" xr3:uid="{5AEAB478-F639-4DDC-8268-523D39EA6019}" name="Alíq. Efetiva" dataDxfId="98"/>
    <tableColumn id="7" xr3:uid="{C13D08DB-90AB-4367-B73E-C40385F0EE1B}" name="IRPJ" dataDxfId="97"/>
    <tableColumn id="8" xr3:uid="{98C501EC-98EE-47AE-AB40-180010143BC5}" name="CSLL" dataDxfId="96"/>
    <tableColumn id="9" xr3:uid="{604DAB75-CA14-4628-AD28-F312658420B5}" name="Cofins" dataDxfId="95"/>
    <tableColumn id="10" xr3:uid="{78B2E165-6993-4000-8D0E-BEF96686A795}" name="PIS/Pasep" dataDxfId="94"/>
    <tableColumn id="11" xr3:uid="{B9A7AACC-C283-45FD-9198-17EC75AD3790}" name="CPP" dataDxfId="93"/>
    <tableColumn id="12" xr3:uid="{19B418A7-4F27-4B3C-A973-6B4F2D7DBDE3}" name="ICMS" dataDxfId="92"/>
  </tableColumns>
  <tableStyleInfo name="TableStyleMedium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472C4EB-7FA5-43E7-BB9E-12282ACD89B3}" name="Tabela46913" displayName="Tabela46913" ref="A3:L9" totalsRowShown="0" headerRowDxfId="91">
  <autoFilter ref="A3:L9" xr:uid="{00000000-0009-0000-0100-00000C000000}"/>
  <tableColumns count="12">
    <tableColumn id="1" xr3:uid="{ACE8C436-86FB-4C52-8C8C-FBB13BDD2F1C}" name="Faixa"/>
    <tableColumn id="2" xr3:uid="{D440DF6C-AEA0-43C9-9573-2F8D08BEF3D1}" name="De (R$)" dataDxfId="90"/>
    <tableColumn id="3" xr3:uid="{3AD424B3-AFFB-4A00-AA3E-D79EFD351CE1}" name="Até (R$)" dataDxfId="89"/>
    <tableColumn id="4" xr3:uid="{D4542E95-5975-43C2-A1F8-AA2DDBA0F2C5}" name="Alíquota" dataDxfId="88" dataCellStyle="Porcentagem"/>
    <tableColumn id="5" xr3:uid="{8CB3A06D-E6F0-4CE8-A32C-7C29075A127A}" name="Valor a Deduzir (R$)" dataDxfId="87"/>
    <tableColumn id="6" xr3:uid="{4142A6DE-4D7F-42B0-AA42-62905AEA76FE}" name="IRPJ" dataDxfId="86" dataCellStyle="Porcentagem"/>
    <tableColumn id="7" xr3:uid="{47DFBBA5-77AF-4016-AC31-6B81B8E483DF}" name="CSLL" dataDxfId="85" dataCellStyle="Porcentagem"/>
    <tableColumn id="8" xr3:uid="{76DA92F4-5275-4E74-A6FC-56966FFBACCF}" name="Cofins" dataDxfId="84" dataCellStyle="Porcentagem"/>
    <tableColumn id="9" xr3:uid="{9FF342F6-D87F-4627-BA1B-4AD6F42B38DB}" name="PIS/Pasep" dataDxfId="83" dataCellStyle="Porcentagem"/>
    <tableColumn id="10" xr3:uid="{D14EE5F6-3D34-47AA-AD64-6C418199FF9F}" name="CPP" dataDxfId="82" dataCellStyle="Porcentagem"/>
    <tableColumn id="12" xr3:uid="{5661E62D-5BC1-4255-948A-7A3CED618CE1}" name="IPI" dataDxfId="81" dataCellStyle="Porcentagem"/>
    <tableColumn id="11" xr3:uid="{1F506A68-1D6D-474B-96F7-598887D7F90F}" name="ICMS" dataDxfId="80" dataCellStyle="Porcentagem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258F974-5986-4206-853C-89B5CD3C603A}" name="ANEXO2" displayName="ANEXO2" ref="A14:M15" insertRow="1" totalsRowShown="0">
  <autoFilter ref="A14:M15" xr:uid="{00000000-0009-0000-0100-00000D000000}"/>
  <tableColumns count="13">
    <tableColumn id="1" xr3:uid="{16D63CD3-EF8D-4531-8A87-0BB34F4B288B}" name="Mês" dataDxfId="79"/>
    <tableColumn id="2" xr3:uid="{986D6C11-9D1E-41B6-80A2-5EE9F582A5A5}" name="RBT 12" dataDxfId="78"/>
    <tableColumn id="3" xr3:uid="{F0CC3AB2-08F9-4D33-A590-CE41FFABD99E}" name="Alíq. Nominal" dataDxfId="77"/>
    <tableColumn id="4" xr3:uid="{E0EF6BF8-9F5D-4FAB-8485-EAA907267C0D}" name="Valor" dataDxfId="76"/>
    <tableColumn id="5" xr3:uid="{6821651A-3472-4A8B-A389-599AA6635D21}" name="Desconto" dataDxfId="75"/>
    <tableColumn id="6" xr3:uid="{7DA10317-C913-4B43-A17C-87C3D631C832}" name="Alíq. Efetiva" dataDxfId="74"/>
    <tableColumn id="7" xr3:uid="{203A0836-7473-495B-B110-9C44853F3E3B}" name="IRPJ" dataDxfId="73"/>
    <tableColumn id="8" xr3:uid="{CA8DC8E5-AD80-4EC5-AD33-E53866E5987E}" name="CSLL" dataDxfId="72"/>
    <tableColumn id="9" xr3:uid="{4EF01E58-CC6F-473C-B5E7-9DA8ADC76479}" name="Cofins" dataDxfId="71"/>
    <tableColumn id="10" xr3:uid="{6FD9C860-C551-4D3C-8432-685F3AE231F5}" name="PIS/Pasep" dataDxfId="70"/>
    <tableColumn id="11" xr3:uid="{6C9BF728-CEAC-4A5B-A2D2-F324C6079FAB}" name="CPP" dataDxfId="69"/>
    <tableColumn id="13" xr3:uid="{FB8CA96E-F0E5-40C7-9CB1-87B5107B9872}" name="IPI" dataDxfId="68"/>
    <tableColumn id="12" xr3:uid="{94D5A406-BB64-49B5-8DCC-1789D90959A8}" name="ICMS" dataDxfId="67"/>
  </tableColumns>
  <tableStyleInfo name="TableStyleMedium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AFB6CB1-0D6B-42CC-8B76-C647CB8985CD}" name="Tabela4" displayName="Tabela4" ref="A3:K9" totalsRowShown="0" headerRowDxfId="66">
  <autoFilter ref="A3:K9" xr:uid="{00000000-0009-0000-0100-000004000000}"/>
  <tableColumns count="11">
    <tableColumn id="1" xr3:uid="{2C0D085F-BB69-490E-8C0A-B3BC7278D178}" name="Faixa"/>
    <tableColumn id="2" xr3:uid="{7F863126-1907-4A34-9BD1-84C2A3F34AE2}" name="De (R$)" dataDxfId="65"/>
    <tableColumn id="3" xr3:uid="{C1B4FE27-FDCD-4B51-A0D6-E2BD2AC1D695}" name="Até (R$)" dataDxfId="64"/>
    <tableColumn id="4" xr3:uid="{1EB9FD42-0968-49D3-9D4B-21901D2EABEA}" name="Alíquota" dataDxfId="63" dataCellStyle="Porcentagem"/>
    <tableColumn id="5" xr3:uid="{216F16AD-9C86-4C7F-BC9F-4BCA91C0A912}" name="Valor a Deduzir (R$)" dataDxfId="62"/>
    <tableColumn id="6" xr3:uid="{E6ED4CF3-374C-45A6-B1B3-B928401A344F}" name="IRPJ" dataDxfId="61" dataCellStyle="Porcentagem"/>
    <tableColumn id="7" xr3:uid="{244B88E0-2A94-4B51-86AE-2EB92E3AD452}" name="CSLL" dataDxfId="60" dataCellStyle="Porcentagem"/>
    <tableColumn id="8" xr3:uid="{6979667A-955C-461A-9987-55A7DBE8AD3C}" name="Cofins" dataDxfId="59" dataCellStyle="Porcentagem"/>
    <tableColumn id="9" xr3:uid="{CF3A3722-2CD6-4843-A912-06B2BDA292CE}" name="PIS/Pasep" dataDxfId="58" dataCellStyle="Porcentagem"/>
    <tableColumn id="10" xr3:uid="{C480F9DA-C8FC-4239-B07A-311494B5D433}" name="CPP" dataDxfId="57" dataCellStyle="Porcentagem"/>
    <tableColumn id="11" xr3:uid="{D2B025D1-8963-4ACE-B9A8-AF00FEDCDC36}" name="ISS" dataDxfId="56" dataCellStyle="Porcentagem"/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47216A0-D682-4892-B2DA-EF4941526467}" name="ANEXO3" displayName="ANEXO3" ref="A14:L15" insertRow="1" totalsRowShown="0">
  <autoFilter ref="A14:L15" xr:uid="{00000000-0009-0000-0100-000006000000}"/>
  <tableColumns count="12">
    <tableColumn id="1" xr3:uid="{967748E1-26CD-41ED-B61D-0951A07AE9D6}" name="Mês" dataDxfId="55"/>
    <tableColumn id="2" xr3:uid="{660C18C1-B312-4440-A2A1-7AEAE17583BA}" name="RBT 12" dataDxfId="54"/>
    <tableColumn id="3" xr3:uid="{3DBB79A6-64E5-48F1-A340-A17A25635080}" name="Alíq. Nominal" dataDxfId="53"/>
    <tableColumn id="4" xr3:uid="{AC57BD66-7367-4BB8-A769-1E91344A7D4C}" name="Valor" dataDxfId="52"/>
    <tableColumn id="5" xr3:uid="{2723E628-4C4D-432F-9FBF-14646D8F8B8E}" name="Desconto" dataDxfId="51"/>
    <tableColumn id="6" xr3:uid="{3833C75F-91EF-40C0-A323-3202ECC6595C}" name="Alíq. Efetiva" dataDxfId="50"/>
    <tableColumn id="7" xr3:uid="{CD958A4C-5418-46D8-B823-E51D88425B60}" name="IRPJ" dataDxfId="49"/>
    <tableColumn id="8" xr3:uid="{D9C2891E-30C1-4163-BFAC-C806E4B04FA7}" name="CSLL" dataDxfId="48"/>
    <tableColumn id="9" xr3:uid="{CDBBD968-F6C8-4B2C-BBEB-FE8CCEEF28DC}" name="Cofins" dataDxfId="47"/>
    <tableColumn id="10" xr3:uid="{67D0C402-B9AD-46D9-BCD7-171FDCCD5E39}" name="PIS/Pasep" dataDxfId="46"/>
    <tableColumn id="11" xr3:uid="{335BC0F6-EC59-41D5-8CAA-0CC484C1E629}" name="CPP" dataDxfId="45"/>
    <tableColumn id="12" xr3:uid="{3F316769-AE83-455C-B7FE-192F0BF4C54E}" name="ISS" dataDxfId="44"/>
  </tableColumns>
  <tableStyleInfo name="TableStyleMedium8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9B4E5A0-E5EB-4B45-A505-8E4290369BF8}" name="Tabela46915" displayName="Tabela46915" ref="A3:J9" totalsRowShown="0" headerRowDxfId="43">
  <autoFilter ref="A3:J9" xr:uid="{00000000-0009-0000-0100-00000E000000}"/>
  <tableColumns count="10">
    <tableColumn id="1" xr3:uid="{CEF65EEF-6A74-4641-BC9F-3F55429354FD}" name="Faixa"/>
    <tableColumn id="2" xr3:uid="{4CB660E6-F848-40DB-BBAC-176FC8E2D2BC}" name="De (R$)" dataDxfId="42"/>
    <tableColumn id="3" xr3:uid="{0751AAAE-9BE2-4E34-8114-80EBA82D61E7}" name="Até (R$)" dataDxfId="41"/>
    <tableColumn id="4" xr3:uid="{7110B18F-EE1E-47B4-9FF5-7C5B24EFECD7}" name="Alíquota" dataDxfId="40" dataCellStyle="Porcentagem"/>
    <tableColumn id="5" xr3:uid="{5629F2FC-B9C4-4780-9960-D7D891350EAE}" name="Valor a Deduzir (R$)" dataDxfId="39"/>
    <tableColumn id="6" xr3:uid="{1FBFE8EB-6C9E-431E-884B-E2AF036138B1}" name="IRPJ" dataDxfId="38" dataCellStyle="Porcentagem"/>
    <tableColumn id="7" xr3:uid="{3220203E-2985-41D2-8726-77129EA67806}" name="CSLL" dataDxfId="37" dataCellStyle="Porcentagem"/>
    <tableColumn id="8" xr3:uid="{F5DEC601-BEA3-4299-891B-07DCDF7CFE75}" name="Cofins" dataDxfId="36" dataCellStyle="Porcentagem"/>
    <tableColumn id="9" xr3:uid="{8AB79A6F-E859-40AC-AC73-8B63A4988B61}" name="PIS/Pasep" dataDxfId="35" dataCellStyle="Porcentagem"/>
    <tableColumn id="11" xr3:uid="{0AA53FDE-BF32-44B0-9B80-42DB77F042DF}" name="ISS" dataDxfId="34" dataCellStyle="Porcentagem"/>
  </tableColumns>
  <tableStyleInfo name="TableStyleMedium15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AB096CA-53DD-4016-B0B7-13A808485AFF}" name="ANEXO4" displayName="ANEXO4" ref="A14:K15" insertRow="1" totalsRowShown="0">
  <autoFilter ref="A14:K15" xr:uid="{00000000-0009-0000-0100-00000F000000}"/>
  <tableColumns count="11">
    <tableColumn id="1" xr3:uid="{25150658-D713-48C6-AE28-0872F978E821}" name="Mês" dataDxfId="33"/>
    <tableColumn id="2" xr3:uid="{4F0E4C9E-E84C-49F9-896D-DAB36053D61F}" name="RBT 12" dataDxfId="32"/>
    <tableColumn id="3" xr3:uid="{CF1C5392-2265-4B3C-9AFD-01A15DA4CF1D}" name="Alíq. Nominal" dataDxfId="31"/>
    <tableColumn id="4" xr3:uid="{7EEB75A9-1BD4-4477-A624-ACBFC8C34FC4}" name="Valor" dataDxfId="30"/>
    <tableColumn id="5" xr3:uid="{844B59DD-AA18-4CBE-871B-313DAE5B072F}" name="Desconto" dataDxfId="29"/>
    <tableColumn id="6" xr3:uid="{B1CB632E-AD8F-4335-A6AF-4208F8BF5140}" name="Alíq. Efetiva" dataDxfId="28"/>
    <tableColumn id="7" xr3:uid="{E4A5AFA8-B5B9-4789-A180-CF2E414E583E}" name="IRPJ" dataDxfId="27"/>
    <tableColumn id="8" xr3:uid="{E2314E43-16B1-4A2F-8C3B-25618D7ECB55}" name="CSLL" dataDxfId="26"/>
    <tableColumn id="9" xr3:uid="{52AAFC20-BDA3-44AA-991B-8283EB9ACBAA}" name="Cofins" dataDxfId="25"/>
    <tableColumn id="10" xr3:uid="{A7F01900-29F8-463C-A3F0-C9C02A2FD779}" name="PIS/Pasep" dataDxfId="24"/>
    <tableColumn id="12" xr3:uid="{7DD33F48-90F2-4962-A3DD-A8992CF61CE9}" name="ISS" dataDxfId="23"/>
  </tableColumns>
  <tableStyleInfo name="TableStyleMedium8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CF212D7-4261-4F4E-B7B9-99E9582905D4}" name="Tabela46" displayName="Tabela46" ref="A3:K9" totalsRowShown="0" headerRowDxfId="22">
  <autoFilter ref="A3:K9" xr:uid="{00000000-0009-0000-0100-000005000000}"/>
  <tableColumns count="11">
    <tableColumn id="1" xr3:uid="{590E1B1B-E149-4C5C-91EE-BDB0922C647B}" name="Faixa"/>
    <tableColumn id="2" xr3:uid="{17BEC781-5AA4-4FA0-9CCF-5D8448C9E0F5}" name="De (R$)" dataDxfId="21"/>
    <tableColumn id="3" xr3:uid="{833A0743-CEBE-4527-9C29-33C3B297B254}" name="Até (R$)" dataDxfId="20"/>
    <tableColumn id="4" xr3:uid="{09810CD2-280E-4E66-B04F-A3E0C5707FEC}" name="Alíquota" dataDxfId="19" dataCellStyle="Porcentagem"/>
    <tableColumn id="5" xr3:uid="{D3FE8967-7FE5-4B69-8F52-75430FB02CD2}" name="Valor a Deduzir (R$)" dataDxfId="18"/>
    <tableColumn id="6" xr3:uid="{960A4DA5-5E2C-4EBD-BAC6-F31B7452548B}" name="IRPJ" dataDxfId="17" dataCellStyle="Porcentagem"/>
    <tableColumn id="7" xr3:uid="{C00E79C9-8B53-40DE-8C5A-A67A2CFE4F62}" name="CSLL" dataDxfId="16" dataCellStyle="Porcentagem"/>
    <tableColumn id="8" xr3:uid="{5329ACA3-F293-46DC-93BB-ED9D61950111}" name="Cofins" dataDxfId="15" dataCellStyle="Porcentagem"/>
    <tableColumn id="9" xr3:uid="{3793F35B-ACED-4FB3-8869-C21E3B5C671C}" name="PIS/Pasep" dataDxfId="14" dataCellStyle="Porcentagem"/>
    <tableColumn id="10" xr3:uid="{51383222-0369-4BF8-BBEE-5F0E433741F5}" name="CPP" dataDxfId="13" dataCellStyle="Porcentagem"/>
    <tableColumn id="11" xr3:uid="{144071D5-32C4-410D-BA45-F55A2E70A1C3}" name="ISS" dataDxfId="12" dataCellStyle="Porcentagem"/>
  </tableColumns>
  <tableStyleInfo name="TableStyleMedium15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B9A892D-96A5-4FB2-936C-A4DF7033C149}" name="ANEXO5" displayName="ANEXO5" ref="A14:L15" insertRow="1" totalsRowShown="0">
  <autoFilter ref="A14:L15" xr:uid="{00000000-0009-0000-0100-000007000000}"/>
  <tableColumns count="12">
    <tableColumn id="1" xr3:uid="{EAC3B198-092C-48E7-9A64-0E4BD5563D44}" name="Mês" dataDxfId="11"/>
    <tableColumn id="2" xr3:uid="{D1D970CC-3AE5-4CFC-8B79-EE21291F5E1A}" name="RBT 12" dataDxfId="10"/>
    <tableColumn id="3" xr3:uid="{2B4C2F47-A791-4A98-87C7-D9278A5D2560}" name="Alíq. Nominal" dataDxfId="9"/>
    <tableColumn id="4" xr3:uid="{2C641DDF-5B74-4A7A-ABEB-B6AFDF13E89E}" name="Valor" dataDxfId="8"/>
    <tableColumn id="5" xr3:uid="{0A687C4F-7435-4794-87E9-4AB21AB4F87A}" name="Desconto" dataDxfId="7"/>
    <tableColumn id="6" xr3:uid="{9613CE4A-6B75-4806-9706-4DB4CBD6F828}" name="Alíq. Efetiva" dataDxfId="6"/>
    <tableColumn id="7" xr3:uid="{878F6F9D-F7CC-466A-AC3D-F869FE9147D3}" name="IRPJ" dataDxfId="5"/>
    <tableColumn id="8" xr3:uid="{C477B7D6-2041-4EF0-A15F-A68418D030CC}" name="CSLL" dataDxfId="4"/>
    <tableColumn id="9" xr3:uid="{5D98025B-AB3F-4871-B1E2-0B19994C93FE}" name="Cofins" dataDxfId="3"/>
    <tableColumn id="10" xr3:uid="{292E2D56-FB11-4F6D-BE37-EC778DE5E1E4}" name="PIS/Pasep" dataDxfId="2"/>
    <tableColumn id="11" xr3:uid="{43778701-0588-405F-8AF5-9C7F0CDDFB14}" name="CPP" dataDxfId="1"/>
    <tableColumn id="12" xr3:uid="{5DA9A08E-8490-4D50-9D45-C12E066EE816}" name="ISS" dataDxfId="0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2A3CD-137E-4DCD-9E5A-8D0C4FD686DB}">
  <sheetPr codeName="Planilha1"/>
  <dimension ref="A1:H7"/>
  <sheetViews>
    <sheetView showGridLines="0" tabSelected="1" zoomScaleNormal="100" workbookViewId="0">
      <selection activeCell="S1" sqref="S1"/>
    </sheetView>
  </sheetViews>
  <sheetFormatPr defaultRowHeight="15" x14ac:dyDescent="0.25"/>
  <cols>
    <col min="1" max="1" width="14.42578125" customWidth="1"/>
    <col min="2" max="2" width="18.85546875" customWidth="1"/>
    <col min="3" max="3" width="13.5703125" customWidth="1"/>
    <col min="4" max="4" width="10.7109375" customWidth="1"/>
    <col min="5" max="5" width="11" customWidth="1"/>
    <col min="6" max="7" width="11.5703125" customWidth="1"/>
    <col min="8" max="8" width="11.140625" customWidth="1"/>
  </cols>
  <sheetData>
    <row r="1" spans="1:8" ht="33.6" customHeight="1" thickBot="1" x14ac:dyDescent="0.3">
      <c r="A1" s="32" t="str">
        <f>Empresa!B1</f>
        <v>nomeEmpresa</v>
      </c>
      <c r="B1" s="33"/>
      <c r="C1" s="33"/>
      <c r="D1" s="33"/>
      <c r="E1" s="31">
        <f>Empresa!B2</f>
        <v>0</v>
      </c>
      <c r="F1" s="31"/>
      <c r="G1" s="31"/>
      <c r="H1" s="30"/>
    </row>
    <row r="2" spans="1:8" x14ac:dyDescent="0.25">
      <c r="A2" s="19" t="s">
        <v>0</v>
      </c>
      <c r="B2" s="19" t="s">
        <v>3</v>
      </c>
      <c r="C2" s="19" t="s">
        <v>1</v>
      </c>
      <c r="D2" s="19" t="s">
        <v>26</v>
      </c>
      <c r="E2" s="19" t="s">
        <v>2</v>
      </c>
      <c r="F2" s="19" t="s">
        <v>4</v>
      </c>
      <c r="G2" s="19" t="s">
        <v>38</v>
      </c>
      <c r="H2" s="19" t="s">
        <v>37</v>
      </c>
    </row>
    <row r="3" spans="1:8" x14ac:dyDescent="0.25">
      <c r="A3" s="18"/>
      <c r="B3" s="24"/>
      <c r="C3" s="25"/>
      <c r="D3" s="5"/>
      <c r="E3" s="5"/>
      <c r="F3" s="5"/>
      <c r="G3" s="18"/>
      <c r="H3" s="18"/>
    </row>
    <row r="4" spans="1:8" ht="23.45" customHeight="1" x14ac:dyDescent="0.25"/>
    <row r="5" spans="1:8" ht="23.45" customHeight="1" x14ac:dyDescent="0.25"/>
    <row r="6" spans="1:8" x14ac:dyDescent="0.25">
      <c r="A6" t="s">
        <v>0</v>
      </c>
      <c r="B6" s="15" t="s">
        <v>3</v>
      </c>
      <c r="C6" s="17" t="s">
        <v>1</v>
      </c>
      <c r="D6" t="s">
        <v>26</v>
      </c>
      <c r="E6" t="s">
        <v>2</v>
      </c>
      <c r="F6" t="s">
        <v>4</v>
      </c>
      <c r="G6" t="s">
        <v>38</v>
      </c>
      <c r="H6" t="s">
        <v>37</v>
      </c>
    </row>
    <row r="7" spans="1:8" x14ac:dyDescent="0.25">
      <c r="B7" s="15"/>
      <c r="C7" s="16"/>
      <c r="D7" s="2"/>
      <c r="E7" s="2"/>
      <c r="F7" s="2"/>
      <c r="G7" s="2"/>
    </row>
  </sheetData>
  <mergeCells count="2">
    <mergeCell ref="E1:G1"/>
    <mergeCell ref="A1:D1"/>
  </mergeCells>
  <dataValidations count="2">
    <dataValidation type="list" allowBlank="1" showInputMessage="1" showErrorMessage="1" sqref="H3 H7" xr:uid="{8887FA1A-14C3-411A-A241-BA2D13472212}">
      <formula1>ListaSocios</formula1>
    </dataValidation>
    <dataValidation type="list" allowBlank="1" showInputMessage="1" showErrorMessage="1" sqref="B3" xr:uid="{7BA15BFC-11BF-494E-9BC6-58279F439978}">
      <formula1>ListaCnpj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DB6A9B8-E73E-4393-94D9-2ABD06502FE1}">
          <x14:formula1>
            <xm:f>Empresa!$B$8:$C$8</xm:f>
          </x14:formula1>
          <xm:sqref>G3 G7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DE549-0A64-4E24-834C-2AD14D8E6F94}">
  <sheetPr codeName="Planilha2"/>
  <dimension ref="A1:N13"/>
  <sheetViews>
    <sheetView workbookViewId="0">
      <selection activeCell="B34" sqref="B34"/>
    </sheetView>
  </sheetViews>
  <sheetFormatPr defaultRowHeight="15" x14ac:dyDescent="0.25"/>
  <cols>
    <col min="1" max="1" width="7.42578125" bestFit="1" customWidth="1"/>
    <col min="2" max="2" width="17.7109375" bestFit="1" customWidth="1"/>
    <col min="3" max="3" width="13.140625" customWidth="1"/>
    <col min="4" max="4" width="16.140625" customWidth="1"/>
    <col min="5" max="6" width="13.5703125" customWidth="1"/>
    <col min="7" max="7" width="13.7109375" customWidth="1"/>
    <col min="8" max="9" width="13.5703125" customWidth="1"/>
  </cols>
  <sheetData>
    <row r="1" spans="1:14" ht="26.45" customHeight="1" x14ac:dyDescent="0.25">
      <c r="A1" t="s">
        <v>41</v>
      </c>
      <c r="B1" s="15" t="s">
        <v>36</v>
      </c>
      <c r="C1" s="2" t="s">
        <v>42</v>
      </c>
      <c r="D1" s="2" t="s">
        <v>43</v>
      </c>
      <c r="E1" s="2" t="s">
        <v>44</v>
      </c>
      <c r="F1" s="2" t="s">
        <v>45</v>
      </c>
      <c r="G1" s="2" t="s">
        <v>46</v>
      </c>
      <c r="H1" t="s">
        <v>0</v>
      </c>
      <c r="I1" s="2" t="s">
        <v>48</v>
      </c>
    </row>
    <row r="2" spans="1:14" x14ac:dyDescent="0.25">
      <c r="A2" s="20"/>
      <c r="B2" s="15"/>
      <c r="C2" s="2"/>
      <c r="D2" s="2"/>
      <c r="E2" s="2"/>
      <c r="F2" s="2"/>
      <c r="G2" s="2"/>
      <c r="H2" s="29"/>
      <c r="K2" s="2"/>
      <c r="L2" s="2"/>
      <c r="M2" s="2"/>
      <c r="N2" s="2"/>
    </row>
    <row r="3" spans="1:14" x14ac:dyDescent="0.25">
      <c r="K3" s="2"/>
      <c r="L3" s="2"/>
      <c r="M3" s="2"/>
      <c r="N3" s="2"/>
    </row>
    <row r="4" spans="1:14" x14ac:dyDescent="0.25">
      <c r="B4" t="s">
        <v>47</v>
      </c>
      <c r="D4" t="s">
        <v>47</v>
      </c>
      <c r="K4" s="2"/>
      <c r="L4" s="2"/>
      <c r="M4" s="2"/>
      <c r="N4" s="2"/>
    </row>
    <row r="5" spans="1:14" x14ac:dyDescent="0.25">
      <c r="K5" s="2"/>
      <c r="L5" s="2"/>
      <c r="M5" s="2"/>
      <c r="N5" s="2"/>
    </row>
    <row r="6" spans="1:14" x14ac:dyDescent="0.25">
      <c r="K6" s="2"/>
      <c r="L6" s="2"/>
      <c r="M6" s="2"/>
      <c r="N6" s="2"/>
    </row>
    <row r="7" spans="1:14" x14ac:dyDescent="0.25">
      <c r="K7" s="2"/>
      <c r="L7" s="2"/>
      <c r="M7" s="2"/>
      <c r="N7" s="2"/>
    </row>
    <row r="8" spans="1:14" x14ac:dyDescent="0.25">
      <c r="K8" s="2"/>
      <c r="L8" s="2"/>
      <c r="M8" s="2"/>
      <c r="N8" s="2"/>
    </row>
    <row r="9" spans="1:14" x14ac:dyDescent="0.25">
      <c r="K9" s="2"/>
      <c r="L9" s="2"/>
      <c r="M9" s="2"/>
      <c r="N9" s="2"/>
    </row>
    <row r="10" spans="1:14" x14ac:dyDescent="0.25">
      <c r="K10" s="2"/>
      <c r="L10" s="2"/>
      <c r="M10" s="2"/>
      <c r="N10" s="2"/>
    </row>
    <row r="11" spans="1:14" x14ac:dyDescent="0.25">
      <c r="K11" s="2"/>
      <c r="L11" s="2"/>
      <c r="M11" s="2"/>
      <c r="N11" s="2"/>
    </row>
    <row r="12" spans="1:14" x14ac:dyDescent="0.25">
      <c r="K12" s="2"/>
      <c r="L12" s="2"/>
      <c r="M12" s="2"/>
      <c r="N12" s="2"/>
    </row>
    <row r="13" spans="1:14" x14ac:dyDescent="0.25">
      <c r="K13" s="2"/>
      <c r="L13" s="2"/>
      <c r="M13" s="2"/>
      <c r="N13" s="2"/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4E7668-18D9-4B82-8C48-81CC15684A22}">
  <sheetPr codeName="Planilha9"/>
  <dimension ref="A1:I2"/>
  <sheetViews>
    <sheetView workbookViewId="0">
      <selection activeCell="E33" sqref="E33"/>
    </sheetView>
  </sheetViews>
  <sheetFormatPr defaultRowHeight="15" x14ac:dyDescent="0.25"/>
  <cols>
    <col min="3" max="3" width="15" customWidth="1"/>
    <col min="4" max="7" width="13.5703125" customWidth="1"/>
    <col min="8" max="9" width="13.140625" customWidth="1"/>
  </cols>
  <sheetData>
    <row r="1" spans="1:9" ht="50.25" customHeight="1" x14ac:dyDescent="0.25">
      <c r="A1" t="s">
        <v>41</v>
      </c>
      <c r="B1" t="s">
        <v>49</v>
      </c>
      <c r="C1" t="s">
        <v>53</v>
      </c>
      <c r="D1" t="s">
        <v>50</v>
      </c>
      <c r="E1" t="s">
        <v>62</v>
      </c>
      <c r="F1" t="s">
        <v>61</v>
      </c>
      <c r="G1" t="s">
        <v>32</v>
      </c>
      <c r="H1" t="s">
        <v>51</v>
      </c>
      <c r="I1" t="s">
        <v>52</v>
      </c>
    </row>
    <row r="2" spans="1:9" x14ac:dyDescent="0.25">
      <c r="A2" s="21"/>
      <c r="C2" s="2"/>
      <c r="D2" s="2"/>
      <c r="E2" s="2"/>
      <c r="F2" s="7"/>
      <c r="G2" s="7"/>
      <c r="H2" s="2"/>
      <c r="I2" s="2"/>
    </row>
  </sheetData>
  <phoneticPr fontId="4" type="noConversion"/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C5D30D-2DE9-40EC-8B12-29170A00AB9A}">
          <x14:formula1>
            <xm:f>Empresa!$B$9:$F$9</xm:f>
          </x14:formula1>
          <xm:sqref>B2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0E114-7C85-41E9-8400-A2D99F71AFA9}">
  <sheetPr codeName="Planilha10"/>
  <dimension ref="A1:B2"/>
  <sheetViews>
    <sheetView workbookViewId="0">
      <selection activeCell="G18" sqref="G18"/>
    </sheetView>
  </sheetViews>
  <sheetFormatPr defaultRowHeight="15" x14ac:dyDescent="0.25"/>
  <cols>
    <col min="1" max="1" width="12.42578125" customWidth="1"/>
    <col min="2" max="2" width="14.42578125" customWidth="1"/>
  </cols>
  <sheetData>
    <row r="1" spans="1:2" x14ac:dyDescent="0.25">
      <c r="A1" s="21" t="s">
        <v>41</v>
      </c>
      <c r="B1" t="s">
        <v>63</v>
      </c>
    </row>
    <row r="2" spans="1:2" x14ac:dyDescent="0.25">
      <c r="A2" s="21"/>
      <c r="B2" s="2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F2192-CE5D-44F6-8251-BB08C4282158}">
  <sheetPr codeName="Planilha11"/>
  <dimension ref="A1:M39"/>
  <sheetViews>
    <sheetView workbookViewId="0">
      <selection activeCell="D10" sqref="D10"/>
    </sheetView>
  </sheetViews>
  <sheetFormatPr defaultRowHeight="15" x14ac:dyDescent="0.25"/>
  <cols>
    <col min="1" max="1" width="10.42578125" bestFit="1" customWidth="1"/>
    <col min="2" max="3" width="12.42578125" customWidth="1"/>
    <col min="4" max="4" width="12" customWidth="1"/>
    <col min="5" max="5" width="12.140625" customWidth="1"/>
    <col min="6" max="6" width="11.140625" customWidth="1"/>
    <col min="9" max="9" width="10.85546875" customWidth="1"/>
  </cols>
  <sheetData>
    <row r="1" spans="1:13" x14ac:dyDescent="0.25">
      <c r="A1" t="s">
        <v>41</v>
      </c>
      <c r="B1" t="s">
        <v>67</v>
      </c>
      <c r="C1" t="s">
        <v>68</v>
      </c>
      <c r="D1" t="s">
        <v>69</v>
      </c>
      <c r="E1" t="s">
        <v>70</v>
      </c>
      <c r="F1" t="s">
        <v>71</v>
      </c>
    </row>
    <row r="2" spans="1:13" x14ac:dyDescent="0.25">
      <c r="A2" s="21">
        <v>44562</v>
      </c>
      <c r="B2" s="2"/>
      <c r="C2" s="2" t="e">
        <f>VLOOKUP(Tabela16[[#This Row],[MES]],TabelaMensal[],3,FALSE)</f>
        <v>#N/A</v>
      </c>
      <c r="D2" s="2">
        <f>SUMIFS(B:B, A:A, "&gt;="&amp;DATE(YEAR(A2),MONTH(A2)-11,1), A:A, "&lt;="&amp;EOMONTH(A2,0))</f>
        <v>0</v>
      </c>
      <c r="E2" s="2" t="e">
        <f>SUMIFS(C:C,A:A,"&gt;="&amp;DATE(YEAR(A2),MONTH(A2)-11,1),A:A,"&lt;="&amp;EOMONTH(A2,0))</f>
        <v>#N/A</v>
      </c>
      <c r="F2" s="7" t="str">
        <f>IFERROR(Tabela16[[#This Row],[FOLHA_12]]/Tabela16[[#This Row],[FAT_12]],"")</f>
        <v/>
      </c>
      <c r="G2" t="str" cm="1">
        <f t="array" aca="1" ref="G2" ca="1">IFERROR(
    SUMPRODUCT((A$2:A2&gt;=_xludf.EDATE(A2,-11))*(A$2:A2&lt;=A2), B$2:B2) /
    SUMPRODUCT((A$2:A2&gt;=_xludf.EDATE(A2,-11))*(A$2:A2&lt;=A2), C$2:C2),
    ""
)</f>
        <v/>
      </c>
      <c r="L2" s="2"/>
      <c r="M2" s="2"/>
    </row>
    <row r="3" spans="1:13" x14ac:dyDescent="0.25">
      <c r="L3" s="2"/>
      <c r="M3" s="2"/>
    </row>
    <row r="4" spans="1:13" x14ac:dyDescent="0.25">
      <c r="L4" s="2"/>
      <c r="M4" s="2"/>
    </row>
    <row r="5" spans="1:13" x14ac:dyDescent="0.25">
      <c r="L5" s="2"/>
      <c r="M5" s="2"/>
    </row>
    <row r="6" spans="1:13" x14ac:dyDescent="0.25">
      <c r="L6" s="2"/>
      <c r="M6" s="2"/>
    </row>
    <row r="7" spans="1:13" x14ac:dyDescent="0.25">
      <c r="L7" s="2"/>
      <c r="M7" s="2"/>
    </row>
    <row r="8" spans="1:13" x14ac:dyDescent="0.25">
      <c r="L8" s="2"/>
      <c r="M8" s="2"/>
    </row>
    <row r="9" spans="1:13" x14ac:dyDescent="0.25">
      <c r="L9" s="2"/>
      <c r="M9" s="2"/>
    </row>
    <row r="10" spans="1:13" x14ac:dyDescent="0.25">
      <c r="L10" s="2"/>
      <c r="M10" s="2"/>
    </row>
    <row r="11" spans="1:13" x14ac:dyDescent="0.25">
      <c r="L11" s="2"/>
      <c r="M11" s="2"/>
    </row>
    <row r="12" spans="1:13" x14ac:dyDescent="0.25">
      <c r="L12" s="2"/>
      <c r="M12" s="2"/>
    </row>
    <row r="13" spans="1:13" x14ac:dyDescent="0.25">
      <c r="L13" s="2"/>
      <c r="M13" s="2"/>
    </row>
    <row r="14" spans="1:13" x14ac:dyDescent="0.25">
      <c r="L14" s="2"/>
      <c r="M14" s="2"/>
    </row>
    <row r="15" spans="1:13" x14ac:dyDescent="0.25">
      <c r="L15" s="2"/>
      <c r="M15" s="2"/>
    </row>
    <row r="16" spans="1:13" x14ac:dyDescent="0.25">
      <c r="L16" s="2"/>
      <c r="M16" s="2"/>
    </row>
    <row r="17" spans="12:13" x14ac:dyDescent="0.25">
      <c r="L17" s="2"/>
      <c r="M17" s="2"/>
    </row>
    <row r="18" spans="12:13" x14ac:dyDescent="0.25">
      <c r="L18" s="2"/>
      <c r="M18" s="2"/>
    </row>
    <row r="19" spans="12:13" x14ac:dyDescent="0.25">
      <c r="L19" s="2"/>
      <c r="M19" s="2"/>
    </row>
    <row r="20" spans="12:13" x14ac:dyDescent="0.25">
      <c r="L20" s="2"/>
      <c r="M20" s="2"/>
    </row>
    <row r="21" spans="12:13" x14ac:dyDescent="0.25">
      <c r="L21" s="2"/>
      <c r="M21" s="2"/>
    </row>
    <row r="22" spans="12:13" x14ac:dyDescent="0.25">
      <c r="L22" s="2"/>
      <c r="M22" s="2"/>
    </row>
    <row r="23" spans="12:13" x14ac:dyDescent="0.25">
      <c r="L23" s="2"/>
      <c r="M23" s="2"/>
    </row>
    <row r="24" spans="12:13" x14ac:dyDescent="0.25">
      <c r="L24" s="2"/>
      <c r="M24" s="2"/>
    </row>
    <row r="25" spans="12:13" x14ac:dyDescent="0.25">
      <c r="L25" s="2"/>
      <c r="M25" s="2"/>
    </row>
    <row r="26" spans="12:13" x14ac:dyDescent="0.25">
      <c r="L26" s="2"/>
      <c r="M26" s="2"/>
    </row>
    <row r="27" spans="12:13" x14ac:dyDescent="0.25">
      <c r="L27" s="2"/>
      <c r="M27" s="2"/>
    </row>
    <row r="28" spans="12:13" x14ac:dyDescent="0.25">
      <c r="L28" s="2"/>
      <c r="M28" s="2"/>
    </row>
    <row r="29" spans="12:13" x14ac:dyDescent="0.25">
      <c r="L29" s="2"/>
      <c r="M29" s="2"/>
    </row>
    <row r="30" spans="12:13" x14ac:dyDescent="0.25">
      <c r="L30" s="2"/>
      <c r="M30" s="2"/>
    </row>
    <row r="31" spans="12:13" x14ac:dyDescent="0.25">
      <c r="L31" s="2"/>
      <c r="M31" s="2"/>
    </row>
    <row r="32" spans="12:13" x14ac:dyDescent="0.25">
      <c r="L32" s="2"/>
      <c r="M32" s="2"/>
    </row>
    <row r="33" spans="12:13" x14ac:dyDescent="0.25">
      <c r="L33" s="2"/>
      <c r="M33" s="2"/>
    </row>
    <row r="34" spans="12:13" x14ac:dyDescent="0.25">
      <c r="L34" s="2"/>
      <c r="M34" s="2"/>
    </row>
    <row r="35" spans="12:13" x14ac:dyDescent="0.25">
      <c r="L35" s="2"/>
      <c r="M35" s="2"/>
    </row>
    <row r="36" spans="12:13" x14ac:dyDescent="0.25">
      <c r="L36" s="2"/>
      <c r="M36" s="2"/>
    </row>
    <row r="37" spans="12:13" x14ac:dyDescent="0.25">
      <c r="L37" s="2"/>
      <c r="M37" s="2"/>
    </row>
    <row r="38" spans="12:13" x14ac:dyDescent="0.25">
      <c r="L38" s="2"/>
      <c r="M38" s="2"/>
    </row>
    <row r="39" spans="12:13" x14ac:dyDescent="0.25">
      <c r="L39" s="2"/>
      <c r="M39" s="2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9A9FB-C16F-443A-B648-EF11D58E545E}">
  <sheetPr codeName="Planilha8"/>
  <dimension ref="A1:N9"/>
  <sheetViews>
    <sheetView workbookViewId="0">
      <selection activeCell="D5" sqref="D5"/>
    </sheetView>
  </sheetViews>
  <sheetFormatPr defaultRowHeight="15" x14ac:dyDescent="0.25"/>
  <cols>
    <col min="1" max="1" width="18.42578125" bestFit="1" customWidth="1"/>
    <col min="2" max="2" width="19.5703125" customWidth="1"/>
    <col min="3" max="3" width="18.28515625" bestFit="1" customWidth="1"/>
    <col min="4" max="4" width="9.5703125" bestFit="1" customWidth="1"/>
  </cols>
  <sheetData>
    <row r="1" spans="1:14" x14ac:dyDescent="0.25">
      <c r="A1" s="28" t="s">
        <v>35</v>
      </c>
      <c r="B1" t="s">
        <v>66</v>
      </c>
    </row>
    <row r="2" spans="1:14" x14ac:dyDescent="0.25">
      <c r="A2" s="28" t="s">
        <v>36</v>
      </c>
      <c r="B2" s="15">
        <v>0</v>
      </c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1:14" x14ac:dyDescent="0.25">
      <c r="A3" s="28" t="s">
        <v>54</v>
      </c>
      <c r="B3" t="s">
        <v>56</v>
      </c>
    </row>
    <row r="4" spans="1:14" x14ac:dyDescent="0.25">
      <c r="A4" s="28" t="s">
        <v>37</v>
      </c>
      <c r="B4" t="s">
        <v>65</v>
      </c>
    </row>
    <row r="5" spans="1:14" x14ac:dyDescent="0.25">
      <c r="A5" s="28" t="s">
        <v>64</v>
      </c>
      <c r="B5" t="s">
        <v>40</v>
      </c>
    </row>
    <row r="8" spans="1:14" x14ac:dyDescent="0.25">
      <c r="A8" t="s">
        <v>38</v>
      </c>
      <c r="B8" t="s">
        <v>39</v>
      </c>
      <c r="C8" t="s">
        <v>40</v>
      </c>
    </row>
    <row r="9" spans="1:14" x14ac:dyDescent="0.25">
      <c r="A9" t="s">
        <v>55</v>
      </c>
      <c r="B9" t="s">
        <v>56</v>
      </c>
      <c r="C9" t="s">
        <v>57</v>
      </c>
      <c r="D9" t="s">
        <v>58</v>
      </c>
      <c r="E9" t="s">
        <v>59</v>
      </c>
      <c r="F9" t="s">
        <v>60</v>
      </c>
    </row>
  </sheetData>
  <dataValidations count="2">
    <dataValidation type="list" allowBlank="1" showInputMessage="1" showErrorMessage="1" sqref="B3" xr:uid="{E1BA2F62-F4F3-4405-BF33-CF78694F0995}">
      <formula1>$B$9:$F$9</formula1>
    </dataValidation>
    <dataValidation type="list" allowBlank="1" showInputMessage="1" showErrorMessage="1" sqref="B5" xr:uid="{B0F58069-3D61-499C-A2E9-2A9772940FC8}">
      <formula1>$B$8:$C$8</formula1>
    </dataValidation>
  </dataValidation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43B76-41CF-41F2-A50D-ACD3FD7A9DDD}">
  <sheetPr codeName="Planilha4"/>
  <dimension ref="A1:L15"/>
  <sheetViews>
    <sheetView showGridLines="0" workbookViewId="0">
      <selection activeCell="C25" sqref="C25"/>
    </sheetView>
  </sheetViews>
  <sheetFormatPr defaultRowHeight="15" x14ac:dyDescent="0.25"/>
  <cols>
    <col min="1" max="1" width="7.5703125" customWidth="1"/>
    <col min="2" max="3" width="14.28515625" customWidth="1"/>
    <col min="4" max="4" width="12" customWidth="1"/>
    <col min="5" max="5" width="19.85546875" bestFit="1" customWidth="1"/>
    <col min="6" max="12" width="12.7109375" customWidth="1"/>
  </cols>
  <sheetData>
    <row r="1" spans="1:12" x14ac:dyDescent="0.25">
      <c r="A1" s="34" t="s">
        <v>5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</row>
    <row r="3" spans="1:12" x14ac:dyDescent="0.25">
      <c r="A3" s="1" t="s">
        <v>6</v>
      </c>
      <c r="B3" s="1" t="s">
        <v>7</v>
      </c>
      <c r="C3" s="1" t="s">
        <v>8</v>
      </c>
      <c r="D3" s="1" t="s">
        <v>9</v>
      </c>
      <c r="E3" s="1" t="s">
        <v>10</v>
      </c>
      <c r="F3" s="1" t="s">
        <v>11</v>
      </c>
      <c r="G3" s="1" t="s">
        <v>12</v>
      </c>
      <c r="H3" s="1" t="s">
        <v>13</v>
      </c>
      <c r="I3" s="1" t="s">
        <v>14</v>
      </c>
      <c r="J3" s="1" t="s">
        <v>15</v>
      </c>
      <c r="K3" s="1" t="s">
        <v>16</v>
      </c>
    </row>
    <row r="4" spans="1:12" x14ac:dyDescent="0.25">
      <c r="A4" t="s">
        <v>17</v>
      </c>
      <c r="B4" s="2">
        <v>0</v>
      </c>
      <c r="C4" s="2">
        <v>180000</v>
      </c>
      <c r="D4" s="3">
        <v>0.04</v>
      </c>
      <c r="E4" s="2">
        <v>0</v>
      </c>
      <c r="F4" s="3">
        <v>5.5E-2</v>
      </c>
      <c r="G4" s="3">
        <v>3.5000000000000003E-2</v>
      </c>
      <c r="H4" s="3">
        <v>0.12740000000000001</v>
      </c>
      <c r="I4" s="3">
        <v>2.76E-2</v>
      </c>
      <c r="J4" s="3">
        <v>0.41499999999999998</v>
      </c>
      <c r="K4" s="3">
        <v>0.34</v>
      </c>
    </row>
    <row r="5" spans="1:12" x14ac:dyDescent="0.25">
      <c r="A5" t="s">
        <v>18</v>
      </c>
      <c r="B5" s="2">
        <v>180000.01</v>
      </c>
      <c r="C5" s="2">
        <v>360000</v>
      </c>
      <c r="D5" s="3">
        <v>7.2999999999999995E-2</v>
      </c>
      <c r="E5" s="2">
        <v>5940</v>
      </c>
      <c r="F5" s="3">
        <v>5.5E-2</v>
      </c>
      <c r="G5" s="3">
        <v>3.5000000000000003E-2</v>
      </c>
      <c r="H5" s="3">
        <v>0.12740000000000001</v>
      </c>
      <c r="I5" s="3">
        <v>2.76E-2</v>
      </c>
      <c r="J5" s="3">
        <v>0.41499999999999998</v>
      </c>
      <c r="K5" s="3">
        <v>0.34</v>
      </c>
    </row>
    <row r="6" spans="1:12" x14ac:dyDescent="0.25">
      <c r="A6" t="s">
        <v>19</v>
      </c>
      <c r="B6" s="2">
        <v>360000.01</v>
      </c>
      <c r="C6" s="2">
        <v>720000</v>
      </c>
      <c r="D6" s="3">
        <v>9.5000000000000001E-2</v>
      </c>
      <c r="E6" s="2">
        <v>13860</v>
      </c>
      <c r="F6" s="3">
        <v>5.5E-2</v>
      </c>
      <c r="G6" s="3">
        <v>3.5000000000000003E-2</v>
      </c>
      <c r="H6" s="3">
        <v>0.12740000000000001</v>
      </c>
      <c r="I6" s="3">
        <v>2.76E-2</v>
      </c>
      <c r="J6" s="3">
        <v>0.42</v>
      </c>
      <c r="K6" s="3">
        <v>0.33500000000000002</v>
      </c>
    </row>
    <row r="7" spans="1:12" x14ac:dyDescent="0.25">
      <c r="A7" t="s">
        <v>20</v>
      </c>
      <c r="B7" s="2">
        <v>720000.01</v>
      </c>
      <c r="C7" s="2">
        <v>1800000</v>
      </c>
      <c r="D7" s="3">
        <v>0.107</v>
      </c>
      <c r="E7" s="2">
        <v>22500</v>
      </c>
      <c r="F7" s="3">
        <v>5.5E-2</v>
      </c>
      <c r="G7" s="3">
        <v>3.5000000000000003E-2</v>
      </c>
      <c r="H7" s="3">
        <v>0.12740000000000001</v>
      </c>
      <c r="I7" s="3">
        <v>2.76E-2</v>
      </c>
      <c r="J7" s="3">
        <v>0.42</v>
      </c>
      <c r="K7" s="3">
        <v>0.33500000000000002</v>
      </c>
    </row>
    <row r="8" spans="1:12" x14ac:dyDescent="0.25">
      <c r="A8" t="s">
        <v>21</v>
      </c>
      <c r="B8" s="2">
        <v>1800000.01</v>
      </c>
      <c r="C8" s="2">
        <v>3600000</v>
      </c>
      <c r="D8" s="3">
        <v>0.14299999999999999</v>
      </c>
      <c r="E8" s="2">
        <v>87300</v>
      </c>
      <c r="F8" s="3">
        <v>5.5E-2</v>
      </c>
      <c r="G8" s="3">
        <v>3.5000000000000003E-2</v>
      </c>
      <c r="H8" s="3">
        <v>0.12740000000000001</v>
      </c>
      <c r="I8" s="3">
        <v>2.76E-2</v>
      </c>
      <c r="J8" s="3">
        <v>0.42</v>
      </c>
      <c r="K8" s="3">
        <v>0.33500000000000002</v>
      </c>
    </row>
    <row r="9" spans="1:12" x14ac:dyDescent="0.25">
      <c r="A9" t="s">
        <v>22</v>
      </c>
      <c r="B9" s="2">
        <v>3600000.01</v>
      </c>
      <c r="C9" s="2">
        <v>4800000</v>
      </c>
      <c r="D9" s="3">
        <v>0.19</v>
      </c>
      <c r="E9" s="2">
        <v>378000</v>
      </c>
      <c r="F9" s="3">
        <v>0.13500000000000001</v>
      </c>
      <c r="G9" s="3">
        <v>0.1</v>
      </c>
      <c r="H9" s="3">
        <v>0.28270000000000001</v>
      </c>
      <c r="I9" s="3">
        <v>6.13E-2</v>
      </c>
      <c r="J9" s="3">
        <v>0.42099999999999999</v>
      </c>
      <c r="K9" s="3">
        <v>0</v>
      </c>
    </row>
    <row r="11" spans="1:12" ht="15.75" thickBot="1" x14ac:dyDescent="0.3">
      <c r="A11" s="22" t="s">
        <v>23</v>
      </c>
      <c r="B11" s="23" t="s">
        <v>24</v>
      </c>
      <c r="C11" s="23" t="s">
        <v>25</v>
      </c>
      <c r="D11" s="23" t="s">
        <v>26</v>
      </c>
      <c r="E11" s="23" t="s">
        <v>27</v>
      </c>
      <c r="F11" s="26" t="s">
        <v>28</v>
      </c>
      <c r="G11" s="26" t="s">
        <v>11</v>
      </c>
      <c r="H11" s="26" t="s">
        <v>12</v>
      </c>
      <c r="I11" s="26" t="s">
        <v>13</v>
      </c>
      <c r="J11" s="26" t="s">
        <v>14</v>
      </c>
      <c r="K11" s="26" t="s">
        <v>15</v>
      </c>
      <c r="L11" s="27" t="s">
        <v>16</v>
      </c>
    </row>
    <row r="12" spans="1:12" ht="15.75" thickTop="1" x14ac:dyDescent="0.25">
      <c r="A12" s="4"/>
      <c r="B12" s="5"/>
      <c r="C12" s="6"/>
      <c r="D12" s="5"/>
      <c r="E12" s="5"/>
      <c r="F12" s="6"/>
      <c r="G12" s="6"/>
      <c r="H12" s="6"/>
      <c r="I12" s="6"/>
      <c r="J12" s="6"/>
      <c r="K12" s="6"/>
      <c r="L12" s="6"/>
    </row>
    <row r="14" spans="1:12" x14ac:dyDescent="0.25">
      <c r="A14" t="s">
        <v>23</v>
      </c>
      <c r="B14" t="s">
        <v>24</v>
      </c>
      <c r="C14" t="s">
        <v>25</v>
      </c>
      <c r="D14" t="s">
        <v>26</v>
      </c>
      <c r="E14" t="s">
        <v>27</v>
      </c>
      <c r="F14" s="7" t="s">
        <v>28</v>
      </c>
      <c r="G14" s="7" t="s">
        <v>11</v>
      </c>
      <c r="H14" s="7" t="s">
        <v>12</v>
      </c>
      <c r="I14" s="7" t="s">
        <v>13</v>
      </c>
      <c r="J14" s="7" t="s">
        <v>14</v>
      </c>
      <c r="K14" s="7" t="s">
        <v>15</v>
      </c>
      <c r="L14" s="7" t="s">
        <v>16</v>
      </c>
    </row>
    <row r="15" spans="1:12" x14ac:dyDescent="0.25">
      <c r="A15" s="8"/>
      <c r="B15" s="2"/>
      <c r="C15" s="7"/>
      <c r="D15" s="2"/>
      <c r="E15" s="2"/>
      <c r="F15" s="7"/>
      <c r="G15" s="7"/>
      <c r="H15" s="7"/>
      <c r="I15" s="7"/>
      <c r="J15" s="7"/>
      <c r="K15" s="7"/>
      <c r="L15" s="7"/>
    </row>
  </sheetData>
  <dataConsolidate/>
  <mergeCells count="1">
    <mergeCell ref="A1:L1"/>
  </mergeCells>
  <pageMargins left="0.511811024" right="0.511811024" top="0.78740157499999996" bottom="0.78740157499999996" header="0.31496062000000002" footer="0.31496062000000002"/>
  <pageSetup orientation="portrait" r:id="rId1"/>
  <tableParts count="2"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14E13-4559-46B1-9B22-D60491DE5CC9}">
  <sheetPr codeName="Planilha5"/>
  <dimension ref="A1:M15"/>
  <sheetViews>
    <sheetView showGridLines="0" workbookViewId="0">
      <selection activeCell="E29" sqref="E29"/>
    </sheetView>
  </sheetViews>
  <sheetFormatPr defaultRowHeight="15" x14ac:dyDescent="0.25"/>
  <cols>
    <col min="1" max="1" width="7.5703125" bestFit="1" customWidth="1"/>
    <col min="2" max="3" width="14.28515625" customWidth="1"/>
    <col min="4" max="4" width="13.85546875" customWidth="1"/>
    <col min="5" max="5" width="16.140625" customWidth="1"/>
    <col min="6" max="13" width="12.7109375" customWidth="1"/>
  </cols>
  <sheetData>
    <row r="1" spans="1:13" x14ac:dyDescent="0.25">
      <c r="A1" s="35" t="s">
        <v>29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</row>
    <row r="3" spans="1:13" x14ac:dyDescent="0.25">
      <c r="A3" s="9" t="s">
        <v>6</v>
      </c>
      <c r="B3" s="9" t="s">
        <v>7</v>
      </c>
      <c r="C3" s="9" t="s">
        <v>8</v>
      </c>
      <c r="D3" s="9" t="s">
        <v>9</v>
      </c>
      <c r="E3" s="9" t="s">
        <v>10</v>
      </c>
      <c r="F3" s="9" t="s">
        <v>11</v>
      </c>
      <c r="G3" s="9" t="s">
        <v>12</v>
      </c>
      <c r="H3" s="9" t="s">
        <v>13</v>
      </c>
      <c r="I3" s="9" t="s">
        <v>14</v>
      </c>
      <c r="J3" s="9" t="s">
        <v>15</v>
      </c>
      <c r="K3" s="9" t="s">
        <v>30</v>
      </c>
      <c r="L3" s="9" t="s">
        <v>16</v>
      </c>
    </row>
    <row r="4" spans="1:13" x14ac:dyDescent="0.25">
      <c r="A4" t="s">
        <v>17</v>
      </c>
      <c r="B4" s="2">
        <v>0</v>
      </c>
      <c r="C4" s="2">
        <v>180000</v>
      </c>
      <c r="D4" s="3">
        <v>4.4999999999999998E-2</v>
      </c>
      <c r="E4" s="2">
        <v>0</v>
      </c>
      <c r="F4" s="3">
        <v>5.5E-2</v>
      </c>
      <c r="G4" s="3">
        <v>3.5000000000000003E-2</v>
      </c>
      <c r="H4" s="3">
        <v>0.11509999999999999</v>
      </c>
      <c r="I4" s="3">
        <v>2.4899999999999999E-2</v>
      </c>
      <c r="J4" s="3">
        <v>0.375</v>
      </c>
      <c r="K4" s="3">
        <v>7.4999999999999997E-2</v>
      </c>
      <c r="L4" s="3">
        <v>0.32</v>
      </c>
    </row>
    <row r="5" spans="1:13" x14ac:dyDescent="0.25">
      <c r="A5" t="s">
        <v>18</v>
      </c>
      <c r="B5" s="2">
        <v>180000.01</v>
      </c>
      <c r="C5" s="2">
        <v>360000</v>
      </c>
      <c r="D5" s="3">
        <v>7.8E-2</v>
      </c>
      <c r="E5" s="2">
        <v>5940</v>
      </c>
      <c r="F5" s="3">
        <v>5.5E-2</v>
      </c>
      <c r="G5" s="3">
        <v>3.5000000000000003E-2</v>
      </c>
      <c r="H5" s="3">
        <v>0.11509999999999999</v>
      </c>
      <c r="I5" s="3">
        <v>2.4899999999999999E-2</v>
      </c>
      <c r="J5" s="3">
        <v>0.375</v>
      </c>
      <c r="K5" s="3">
        <v>7.4999999999999997E-2</v>
      </c>
      <c r="L5" s="3">
        <v>0.32</v>
      </c>
    </row>
    <row r="6" spans="1:13" x14ac:dyDescent="0.25">
      <c r="A6" t="s">
        <v>19</v>
      </c>
      <c r="B6" s="2">
        <v>360000.01</v>
      </c>
      <c r="C6" s="2">
        <v>720000</v>
      </c>
      <c r="D6" s="3">
        <v>0.1</v>
      </c>
      <c r="E6" s="2">
        <v>13860</v>
      </c>
      <c r="F6" s="3">
        <v>5.5E-2</v>
      </c>
      <c r="G6" s="3">
        <v>3.5000000000000003E-2</v>
      </c>
      <c r="H6" s="3">
        <v>0.11509999999999999</v>
      </c>
      <c r="I6" s="3">
        <v>2.4899999999999999E-2</v>
      </c>
      <c r="J6" s="3">
        <v>0.375</v>
      </c>
      <c r="K6" s="3">
        <v>7.4999999999999997E-2</v>
      </c>
      <c r="L6" s="3">
        <v>0.32</v>
      </c>
    </row>
    <row r="7" spans="1:13" x14ac:dyDescent="0.25">
      <c r="A7" t="s">
        <v>20</v>
      </c>
      <c r="B7" s="2">
        <v>720000.01</v>
      </c>
      <c r="C7" s="2">
        <v>1800000</v>
      </c>
      <c r="D7" s="3">
        <v>0.112</v>
      </c>
      <c r="E7" s="2">
        <v>22500</v>
      </c>
      <c r="F7" s="3">
        <v>5.5E-2</v>
      </c>
      <c r="G7" s="3">
        <v>3.5000000000000003E-2</v>
      </c>
      <c r="H7" s="3">
        <v>0.11509999999999999</v>
      </c>
      <c r="I7" s="3">
        <v>2.4899999999999999E-2</v>
      </c>
      <c r="J7" s="3">
        <v>0.375</v>
      </c>
      <c r="K7" s="3">
        <v>7.4999999999999997E-2</v>
      </c>
      <c r="L7" s="3">
        <v>0.32</v>
      </c>
    </row>
    <row r="8" spans="1:13" x14ac:dyDescent="0.25">
      <c r="A8" t="s">
        <v>21</v>
      </c>
      <c r="B8" s="2">
        <v>1800000.01</v>
      </c>
      <c r="C8" s="2">
        <v>3600000</v>
      </c>
      <c r="D8" s="3">
        <v>0.14699999999999999</v>
      </c>
      <c r="E8" s="2">
        <v>85500</v>
      </c>
      <c r="F8" s="3">
        <v>5.5E-2</v>
      </c>
      <c r="G8" s="3">
        <v>3.5000000000000003E-2</v>
      </c>
      <c r="H8" s="3">
        <v>0.11509999999999999</v>
      </c>
      <c r="I8" s="3">
        <v>2.4899999999999999E-2</v>
      </c>
      <c r="J8" s="3">
        <v>0.375</v>
      </c>
      <c r="K8" s="3">
        <v>7.4999999999999997E-2</v>
      </c>
      <c r="L8" s="3">
        <v>0.32</v>
      </c>
    </row>
    <row r="9" spans="1:13" x14ac:dyDescent="0.25">
      <c r="A9" t="s">
        <v>22</v>
      </c>
      <c r="B9" s="2">
        <v>3600000.01</v>
      </c>
      <c r="C9" s="2">
        <v>4800000</v>
      </c>
      <c r="D9" s="3">
        <v>0.3</v>
      </c>
      <c r="E9" s="2">
        <v>720000</v>
      </c>
      <c r="F9" s="3">
        <v>8.5000000000000006E-2</v>
      </c>
      <c r="G9" s="3">
        <v>7.4999999999999997E-2</v>
      </c>
      <c r="H9" s="3">
        <v>0.20960000000000001</v>
      </c>
      <c r="I9" s="3">
        <v>4.5400000000000003E-2</v>
      </c>
      <c r="J9" s="3">
        <v>0.23499999999999999</v>
      </c>
      <c r="K9" s="3">
        <v>0.35</v>
      </c>
      <c r="L9" s="3">
        <v>0</v>
      </c>
    </row>
    <row r="11" spans="1:13" ht="15.75" thickBot="1" x14ac:dyDescent="0.3">
      <c r="A11" s="22" t="s">
        <v>23</v>
      </c>
      <c r="B11" s="23" t="s">
        <v>24</v>
      </c>
      <c r="C11" s="23" t="s">
        <v>25</v>
      </c>
      <c r="D11" s="23" t="s">
        <v>26</v>
      </c>
      <c r="E11" s="23" t="s">
        <v>27</v>
      </c>
      <c r="F11" s="26" t="s">
        <v>28</v>
      </c>
      <c r="G11" s="26" t="s">
        <v>11</v>
      </c>
      <c r="H11" s="26" t="s">
        <v>12</v>
      </c>
      <c r="I11" s="26" t="s">
        <v>13</v>
      </c>
      <c r="J11" s="26" t="s">
        <v>14</v>
      </c>
      <c r="K11" s="26" t="s">
        <v>15</v>
      </c>
      <c r="L11" s="26" t="s">
        <v>30</v>
      </c>
      <c r="M11" s="27" t="s">
        <v>16</v>
      </c>
    </row>
    <row r="12" spans="1:13" ht="15.75" thickTop="1" x14ac:dyDescent="0.25">
      <c r="A12" s="4"/>
      <c r="B12" s="5"/>
      <c r="C12" s="6"/>
      <c r="D12" s="5"/>
      <c r="E12" s="5"/>
      <c r="F12" s="6"/>
      <c r="G12" s="6"/>
      <c r="H12" s="6"/>
      <c r="I12" s="6"/>
      <c r="J12" s="6"/>
      <c r="K12" s="6"/>
      <c r="L12" s="6"/>
      <c r="M12" s="6"/>
    </row>
    <row r="14" spans="1:13" x14ac:dyDescent="0.25">
      <c r="A14" t="s">
        <v>23</v>
      </c>
      <c r="B14" t="s">
        <v>24</v>
      </c>
      <c r="C14" t="s">
        <v>25</v>
      </c>
      <c r="D14" t="s">
        <v>26</v>
      </c>
      <c r="E14" t="s">
        <v>27</v>
      </c>
      <c r="F14" s="7" t="s">
        <v>28</v>
      </c>
      <c r="G14" s="7" t="s">
        <v>11</v>
      </c>
      <c r="H14" s="7" t="s">
        <v>12</v>
      </c>
      <c r="I14" s="7" t="s">
        <v>13</v>
      </c>
      <c r="J14" s="7" t="s">
        <v>14</v>
      </c>
      <c r="K14" s="7" t="s">
        <v>15</v>
      </c>
      <c r="L14" s="7" t="s">
        <v>30</v>
      </c>
      <c r="M14" s="7" t="s">
        <v>16</v>
      </c>
    </row>
    <row r="15" spans="1:13" x14ac:dyDescent="0.25">
      <c r="A15" s="8"/>
      <c r="B15" s="2"/>
      <c r="C15" s="7"/>
      <c r="D15" s="2"/>
      <c r="E15" s="2"/>
      <c r="F15" s="7"/>
      <c r="G15" s="7"/>
      <c r="H15" s="7"/>
      <c r="I15" s="7"/>
      <c r="J15" s="7"/>
      <c r="K15" s="7"/>
      <c r="L15" s="7"/>
      <c r="M15" s="7"/>
    </row>
  </sheetData>
  <mergeCells count="1">
    <mergeCell ref="A1:L1"/>
  </mergeCells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07BA3-D397-4938-A017-64186CC81992}">
  <sheetPr codeName="Planilha3"/>
  <dimension ref="A1:M15"/>
  <sheetViews>
    <sheetView showGridLines="0" workbookViewId="0">
      <selection activeCell="E29" sqref="E29"/>
    </sheetView>
  </sheetViews>
  <sheetFormatPr defaultRowHeight="15" x14ac:dyDescent="0.25"/>
  <cols>
    <col min="1" max="1" width="7.5703125" bestFit="1" customWidth="1"/>
    <col min="2" max="2" width="11.42578125" customWidth="1"/>
    <col min="3" max="3" width="14.28515625" bestFit="1" customWidth="1"/>
    <col min="4" max="4" width="12" bestFit="1" customWidth="1"/>
    <col min="5" max="5" width="19.85546875" bestFit="1" customWidth="1"/>
    <col min="6" max="12" width="12.7109375" customWidth="1"/>
    <col min="13" max="13" width="8.7109375" style="10"/>
  </cols>
  <sheetData>
    <row r="1" spans="1:12" x14ac:dyDescent="0.25">
      <c r="A1" s="36" t="s">
        <v>31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</row>
    <row r="3" spans="1:12" x14ac:dyDescent="0.25">
      <c r="A3" s="11" t="s">
        <v>6</v>
      </c>
      <c r="B3" s="11" t="s">
        <v>7</v>
      </c>
      <c r="C3" s="11" t="s">
        <v>8</v>
      </c>
      <c r="D3" s="11" t="s">
        <v>9</v>
      </c>
      <c r="E3" s="11" t="s">
        <v>10</v>
      </c>
      <c r="F3" s="11" t="s">
        <v>11</v>
      </c>
      <c r="G3" s="11" t="s">
        <v>12</v>
      </c>
      <c r="H3" s="11" t="s">
        <v>13</v>
      </c>
      <c r="I3" s="11" t="s">
        <v>14</v>
      </c>
      <c r="J3" s="11" t="s">
        <v>15</v>
      </c>
      <c r="K3" s="11" t="s">
        <v>32</v>
      </c>
    </row>
    <row r="4" spans="1:12" x14ac:dyDescent="0.25">
      <c r="A4" t="s">
        <v>17</v>
      </c>
      <c r="B4" s="2">
        <v>0</v>
      </c>
      <c r="C4" s="2">
        <v>180000</v>
      </c>
      <c r="D4" s="3">
        <v>0.06</v>
      </c>
      <c r="E4" s="2">
        <v>0</v>
      </c>
      <c r="F4" s="3">
        <v>0.04</v>
      </c>
      <c r="G4" s="3">
        <v>3.5000000000000003E-2</v>
      </c>
      <c r="H4" s="3">
        <v>0.12820000000000001</v>
      </c>
      <c r="I4" s="3">
        <v>2.7799999999999998E-2</v>
      </c>
      <c r="J4" s="3">
        <v>0.434</v>
      </c>
      <c r="K4" s="3">
        <v>0.33500000000000002</v>
      </c>
    </row>
    <row r="5" spans="1:12" x14ac:dyDescent="0.25">
      <c r="A5" t="s">
        <v>18</v>
      </c>
      <c r="B5" s="2">
        <v>180000.01</v>
      </c>
      <c r="C5" s="2">
        <v>360000</v>
      </c>
      <c r="D5" s="3">
        <v>0.112</v>
      </c>
      <c r="E5" s="2">
        <v>9360</v>
      </c>
      <c r="F5" s="3">
        <v>0.04</v>
      </c>
      <c r="G5" s="3">
        <v>3.5000000000000003E-2</v>
      </c>
      <c r="H5" s="3">
        <v>0.14050000000000001</v>
      </c>
      <c r="I5" s="3">
        <v>3.0499999999999999E-2</v>
      </c>
      <c r="J5" s="3">
        <v>0.434</v>
      </c>
      <c r="K5" s="3">
        <v>0.32</v>
      </c>
    </row>
    <row r="6" spans="1:12" x14ac:dyDescent="0.25">
      <c r="A6" t="s">
        <v>19</v>
      </c>
      <c r="B6" s="2">
        <v>360000.01</v>
      </c>
      <c r="C6" s="2">
        <v>720000</v>
      </c>
      <c r="D6" s="3">
        <v>0.13500000000000001</v>
      </c>
      <c r="E6" s="2">
        <v>17640</v>
      </c>
      <c r="F6" s="3">
        <v>0.04</v>
      </c>
      <c r="G6" s="3">
        <v>3.5000000000000003E-2</v>
      </c>
      <c r="H6" s="3">
        <v>0.13639999999999999</v>
      </c>
      <c r="I6" s="3">
        <v>2.9600000000000001E-2</v>
      </c>
      <c r="J6" s="3">
        <v>0.434</v>
      </c>
      <c r="K6" s="3">
        <v>0.32500000000000001</v>
      </c>
    </row>
    <row r="7" spans="1:12" x14ac:dyDescent="0.25">
      <c r="A7" t="s">
        <v>20</v>
      </c>
      <c r="B7" s="2">
        <v>720000.01</v>
      </c>
      <c r="C7" s="2">
        <v>1800000</v>
      </c>
      <c r="D7" s="3">
        <v>0.16</v>
      </c>
      <c r="E7" s="2">
        <v>35640</v>
      </c>
      <c r="F7" s="3">
        <v>0.04</v>
      </c>
      <c r="G7" s="3">
        <v>3.5000000000000003E-2</v>
      </c>
      <c r="H7" s="3">
        <v>0.13639999999999999</v>
      </c>
      <c r="I7" s="3">
        <v>2.9600000000000001E-2</v>
      </c>
      <c r="J7" s="3">
        <v>0.434</v>
      </c>
      <c r="K7" s="3">
        <v>0.32500000000000001</v>
      </c>
    </row>
    <row r="8" spans="1:12" x14ac:dyDescent="0.25">
      <c r="A8" t="s">
        <v>21</v>
      </c>
      <c r="B8" s="2">
        <v>1800000.01</v>
      </c>
      <c r="C8" s="2">
        <v>3600000</v>
      </c>
      <c r="D8" s="3">
        <v>0.21</v>
      </c>
      <c r="E8" s="2">
        <v>125640</v>
      </c>
      <c r="F8" s="3">
        <v>0.04</v>
      </c>
      <c r="G8" s="3">
        <v>3.5000000000000003E-2</v>
      </c>
      <c r="H8" s="3">
        <v>0.12820000000000001</v>
      </c>
      <c r="I8" s="3">
        <v>2.7799999999999998E-2</v>
      </c>
      <c r="J8" s="3">
        <v>0.434</v>
      </c>
      <c r="K8" s="3">
        <v>0.33500000000000002</v>
      </c>
    </row>
    <row r="9" spans="1:12" x14ac:dyDescent="0.25">
      <c r="A9" t="s">
        <v>22</v>
      </c>
      <c r="B9" s="2">
        <v>3600000.01</v>
      </c>
      <c r="C9" s="2">
        <v>4800000</v>
      </c>
      <c r="D9" s="3">
        <v>0.33</v>
      </c>
      <c r="E9" s="2">
        <v>648000</v>
      </c>
      <c r="F9" s="3">
        <v>0.35</v>
      </c>
      <c r="G9" s="3">
        <v>0.15</v>
      </c>
      <c r="H9" s="3">
        <v>0.1603</v>
      </c>
      <c r="I9" s="3">
        <v>3.4700000000000002E-2</v>
      </c>
      <c r="J9" s="3">
        <v>0.30499999999999999</v>
      </c>
      <c r="K9" s="3">
        <v>0</v>
      </c>
    </row>
    <row r="11" spans="1:12" ht="15.75" thickBot="1" x14ac:dyDescent="0.3">
      <c r="A11" s="22" t="s">
        <v>23</v>
      </c>
      <c r="B11" s="23" t="s">
        <v>24</v>
      </c>
      <c r="C11" s="23" t="s">
        <v>25</v>
      </c>
      <c r="D11" s="23" t="s">
        <v>26</v>
      </c>
      <c r="E11" s="23" t="s">
        <v>27</v>
      </c>
      <c r="F11" s="26" t="s">
        <v>28</v>
      </c>
      <c r="G11" s="26" t="s">
        <v>11</v>
      </c>
      <c r="H11" s="26" t="s">
        <v>12</v>
      </c>
      <c r="I11" s="26" t="s">
        <v>13</v>
      </c>
      <c r="J11" s="26" t="s">
        <v>14</v>
      </c>
      <c r="K11" s="26" t="s">
        <v>15</v>
      </c>
      <c r="L11" s="27" t="s">
        <v>32</v>
      </c>
    </row>
    <row r="12" spans="1:12" ht="15.75" thickTop="1" x14ac:dyDescent="0.25">
      <c r="A12" s="4"/>
      <c r="B12" s="5"/>
      <c r="C12" s="12"/>
      <c r="D12" s="5"/>
      <c r="E12" s="5"/>
      <c r="F12" s="12"/>
      <c r="G12" s="12"/>
      <c r="H12" s="12"/>
      <c r="I12" s="12"/>
      <c r="J12" s="12"/>
      <c r="K12" s="12"/>
      <c r="L12" s="12"/>
    </row>
    <row r="14" spans="1:12" x14ac:dyDescent="0.25">
      <c r="A14" t="s">
        <v>23</v>
      </c>
      <c r="B14" t="s">
        <v>24</v>
      </c>
      <c r="C14" t="s">
        <v>25</v>
      </c>
      <c r="D14" t="s">
        <v>26</v>
      </c>
      <c r="E14" t="s">
        <v>27</v>
      </c>
      <c r="F14" s="7" t="s">
        <v>28</v>
      </c>
      <c r="G14" s="7" t="s">
        <v>11</v>
      </c>
      <c r="H14" s="7" t="s">
        <v>12</v>
      </c>
      <c r="I14" s="7" t="s">
        <v>13</v>
      </c>
      <c r="J14" s="7" t="s">
        <v>14</v>
      </c>
      <c r="K14" s="7" t="s">
        <v>15</v>
      </c>
      <c r="L14" s="7" t="s">
        <v>32</v>
      </c>
    </row>
    <row r="15" spans="1:12" x14ac:dyDescent="0.25">
      <c r="A15" s="8"/>
      <c r="B15" s="2"/>
      <c r="C15" s="7"/>
      <c r="D15" s="2"/>
      <c r="E15" s="2"/>
      <c r="F15" s="7"/>
      <c r="G15" s="7"/>
      <c r="H15" s="7"/>
      <c r="I15" s="7"/>
      <c r="J15" s="7"/>
      <c r="K15" s="7"/>
      <c r="L15" s="7"/>
    </row>
  </sheetData>
  <mergeCells count="1">
    <mergeCell ref="A1:L1"/>
  </mergeCells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E0448-E945-425D-814E-387DD1289BDF}">
  <sheetPr codeName="Planilha6"/>
  <dimension ref="A1:L15"/>
  <sheetViews>
    <sheetView showGridLines="0" workbookViewId="0">
      <selection activeCell="E28" sqref="E28"/>
    </sheetView>
  </sheetViews>
  <sheetFormatPr defaultRowHeight="15" x14ac:dyDescent="0.25"/>
  <cols>
    <col min="1" max="1" width="7.5703125" bestFit="1" customWidth="1"/>
    <col min="2" max="3" width="14.28515625" customWidth="1"/>
    <col min="4" max="4" width="12" customWidth="1"/>
    <col min="5" max="5" width="19.85546875" bestFit="1" customWidth="1"/>
    <col min="6" max="12" width="12.7109375" customWidth="1"/>
  </cols>
  <sheetData>
    <row r="1" spans="1:12" x14ac:dyDescent="0.25">
      <c r="A1" s="37" t="s">
        <v>33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</row>
    <row r="3" spans="1:12" x14ac:dyDescent="0.25">
      <c r="A3" s="13" t="s">
        <v>6</v>
      </c>
      <c r="B3" s="13" t="s">
        <v>7</v>
      </c>
      <c r="C3" s="13" t="s">
        <v>8</v>
      </c>
      <c r="D3" s="13" t="s">
        <v>9</v>
      </c>
      <c r="E3" s="13" t="s">
        <v>10</v>
      </c>
      <c r="F3" s="13" t="s">
        <v>11</v>
      </c>
      <c r="G3" s="13" t="s">
        <v>12</v>
      </c>
      <c r="H3" s="13" t="s">
        <v>13</v>
      </c>
      <c r="I3" s="13" t="s">
        <v>14</v>
      </c>
      <c r="J3" s="13" t="s">
        <v>32</v>
      </c>
    </row>
    <row r="4" spans="1:12" x14ac:dyDescent="0.25">
      <c r="A4" t="s">
        <v>17</v>
      </c>
      <c r="B4" s="2">
        <v>0</v>
      </c>
      <c r="C4" s="2">
        <v>180000</v>
      </c>
      <c r="D4" s="3">
        <v>4.4999999999999998E-2</v>
      </c>
      <c r="E4" s="2">
        <v>0</v>
      </c>
      <c r="F4" s="3">
        <v>0.188</v>
      </c>
      <c r="G4" s="3">
        <v>0.152</v>
      </c>
      <c r="H4" s="3">
        <v>0.1767</v>
      </c>
      <c r="I4" s="3">
        <v>3.8300000000000001E-2</v>
      </c>
      <c r="J4" s="3">
        <v>0.44500000000000001</v>
      </c>
    </row>
    <row r="5" spans="1:12" x14ac:dyDescent="0.25">
      <c r="A5" t="s">
        <v>18</v>
      </c>
      <c r="B5" s="2">
        <v>180000.01</v>
      </c>
      <c r="C5" s="2">
        <v>360000</v>
      </c>
      <c r="D5" s="3">
        <v>0.09</v>
      </c>
      <c r="E5" s="2">
        <v>8100</v>
      </c>
      <c r="F5" s="3">
        <v>0.19800000000000001</v>
      </c>
      <c r="G5" s="3">
        <v>0.152</v>
      </c>
      <c r="H5" s="3">
        <v>0.20549999999999999</v>
      </c>
      <c r="I5" s="3">
        <v>4.4499999999999998E-2</v>
      </c>
      <c r="J5" s="3">
        <v>0.4</v>
      </c>
    </row>
    <row r="6" spans="1:12" x14ac:dyDescent="0.25">
      <c r="A6" t="s">
        <v>19</v>
      </c>
      <c r="B6" s="2">
        <v>360000.01</v>
      </c>
      <c r="C6" s="2">
        <v>720000</v>
      </c>
      <c r="D6" s="3">
        <v>0.10199999999999999</v>
      </c>
      <c r="E6" s="2">
        <v>12420</v>
      </c>
      <c r="F6" s="3">
        <v>0.20799999999999999</v>
      </c>
      <c r="G6" s="3">
        <v>0.152</v>
      </c>
      <c r="H6" s="3">
        <v>0.1973</v>
      </c>
      <c r="I6" s="3">
        <v>4.2700000000000002E-2</v>
      </c>
      <c r="J6" s="3">
        <v>0.4</v>
      </c>
    </row>
    <row r="7" spans="1:12" x14ac:dyDescent="0.25">
      <c r="A7" t="s">
        <v>20</v>
      </c>
      <c r="B7" s="2">
        <v>720000.01</v>
      </c>
      <c r="C7" s="2">
        <v>1800000</v>
      </c>
      <c r="D7" s="3">
        <v>0.14000000000000001</v>
      </c>
      <c r="E7" s="2">
        <v>39780</v>
      </c>
      <c r="F7" s="3">
        <v>0.17799999999999999</v>
      </c>
      <c r="G7" s="3">
        <v>0.192</v>
      </c>
      <c r="H7" s="3">
        <v>0.189</v>
      </c>
      <c r="I7" s="3">
        <v>4.1000000000000002E-2</v>
      </c>
      <c r="J7" s="3">
        <v>0.4</v>
      </c>
    </row>
    <row r="8" spans="1:12" x14ac:dyDescent="0.25">
      <c r="A8" t="s">
        <v>21</v>
      </c>
      <c r="B8" s="2">
        <v>1800000.01</v>
      </c>
      <c r="C8" s="2">
        <v>3600000</v>
      </c>
      <c r="D8" s="3">
        <v>0.22</v>
      </c>
      <c r="E8" s="2">
        <v>183780</v>
      </c>
      <c r="F8" s="3">
        <v>0.188</v>
      </c>
      <c r="G8" s="3">
        <v>0.192</v>
      </c>
      <c r="H8" s="3">
        <v>0.18079999999999999</v>
      </c>
      <c r="I8" s="3">
        <v>3.9199999999999999E-2</v>
      </c>
      <c r="J8" s="3">
        <v>0.4</v>
      </c>
    </row>
    <row r="9" spans="1:12" x14ac:dyDescent="0.25">
      <c r="A9" t="s">
        <v>22</v>
      </c>
      <c r="B9" s="2">
        <v>3600000.01</v>
      </c>
      <c r="C9" s="2">
        <v>4800000</v>
      </c>
      <c r="D9" s="3">
        <v>0.33</v>
      </c>
      <c r="E9" s="2">
        <v>828000</v>
      </c>
      <c r="F9" s="3">
        <v>0.53500000000000003</v>
      </c>
      <c r="G9" s="3">
        <v>0.215</v>
      </c>
      <c r="H9" s="3">
        <v>0.20549999999999999</v>
      </c>
      <c r="I9" s="3">
        <v>4.4499999999999998E-2</v>
      </c>
      <c r="J9" s="3">
        <v>0</v>
      </c>
    </row>
    <row r="10" spans="1:12" x14ac:dyDescent="0.25">
      <c r="B10" s="2"/>
      <c r="C10" s="2"/>
      <c r="D10" s="3"/>
      <c r="E10" s="2"/>
      <c r="F10" s="3"/>
      <c r="G10" s="3"/>
      <c r="H10" s="3"/>
      <c r="I10" s="3"/>
      <c r="J10" s="3"/>
    </row>
    <row r="11" spans="1:12" ht="15.75" thickBot="1" x14ac:dyDescent="0.3">
      <c r="A11" s="22" t="s">
        <v>23</v>
      </c>
      <c r="B11" s="23" t="s">
        <v>24</v>
      </c>
      <c r="C11" s="23" t="s">
        <v>25</v>
      </c>
      <c r="D11" s="23" t="s">
        <v>26</v>
      </c>
      <c r="E11" s="23" t="s">
        <v>27</v>
      </c>
      <c r="F11" s="26" t="s">
        <v>28</v>
      </c>
      <c r="G11" s="26" t="s">
        <v>11</v>
      </c>
      <c r="H11" s="26" t="s">
        <v>12</v>
      </c>
      <c r="I11" s="26" t="s">
        <v>13</v>
      </c>
      <c r="J11" s="26" t="s">
        <v>14</v>
      </c>
      <c r="K11" s="27" t="s">
        <v>32</v>
      </c>
    </row>
    <row r="12" spans="1:12" ht="15.75" thickTop="1" x14ac:dyDescent="0.25">
      <c r="A12" s="4"/>
      <c r="B12" s="5"/>
      <c r="C12" s="6"/>
      <c r="D12" s="5"/>
      <c r="E12" s="5"/>
      <c r="F12" s="6"/>
      <c r="G12" s="6"/>
      <c r="H12" s="6"/>
      <c r="I12" s="6"/>
      <c r="J12" s="6"/>
      <c r="K12" s="6"/>
    </row>
    <row r="14" spans="1:12" x14ac:dyDescent="0.25">
      <c r="A14" t="s">
        <v>23</v>
      </c>
      <c r="B14" t="s">
        <v>24</v>
      </c>
      <c r="C14" t="s">
        <v>25</v>
      </c>
      <c r="D14" t="s">
        <v>26</v>
      </c>
      <c r="E14" t="s">
        <v>27</v>
      </c>
      <c r="F14" s="7" t="s">
        <v>28</v>
      </c>
      <c r="G14" s="7" t="s">
        <v>11</v>
      </c>
      <c r="H14" s="7" t="s">
        <v>12</v>
      </c>
      <c r="I14" s="7" t="s">
        <v>13</v>
      </c>
      <c r="J14" s="7" t="s">
        <v>14</v>
      </c>
      <c r="K14" s="7" t="s">
        <v>32</v>
      </c>
    </row>
    <row r="15" spans="1:12" x14ac:dyDescent="0.25">
      <c r="A15" s="8"/>
      <c r="B15" s="2"/>
      <c r="C15" s="7"/>
      <c r="D15" s="2"/>
      <c r="E15" s="2"/>
      <c r="F15" s="7"/>
      <c r="G15" s="7"/>
      <c r="H15" s="7"/>
      <c r="I15" s="7"/>
      <c r="J15" s="7"/>
      <c r="K15" s="7"/>
    </row>
  </sheetData>
  <mergeCells count="1">
    <mergeCell ref="A1:L1"/>
  </mergeCells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60E17-2E99-4FFE-B5B2-E8BD5A0DF595}">
  <sheetPr codeName="Planilha7"/>
  <dimension ref="A1:L15"/>
  <sheetViews>
    <sheetView showGridLines="0" workbookViewId="0">
      <selection activeCell="H30" sqref="H30"/>
    </sheetView>
  </sheetViews>
  <sheetFormatPr defaultRowHeight="15" x14ac:dyDescent="0.25"/>
  <cols>
    <col min="1" max="1" width="7.5703125" bestFit="1" customWidth="1"/>
    <col min="2" max="3" width="14.28515625" customWidth="1"/>
    <col min="4" max="4" width="12" customWidth="1"/>
    <col min="5" max="5" width="19.85546875" bestFit="1" customWidth="1"/>
    <col min="6" max="12" width="12.7109375" customWidth="1"/>
  </cols>
  <sheetData>
    <row r="1" spans="1:12" x14ac:dyDescent="0.25">
      <c r="A1" s="38" t="s">
        <v>34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</row>
    <row r="3" spans="1:12" x14ac:dyDescent="0.25">
      <c r="A3" s="14" t="s">
        <v>6</v>
      </c>
      <c r="B3" s="14" t="s">
        <v>7</v>
      </c>
      <c r="C3" s="14" t="s">
        <v>8</v>
      </c>
      <c r="D3" s="14" t="s">
        <v>9</v>
      </c>
      <c r="E3" s="14" t="s">
        <v>10</v>
      </c>
      <c r="F3" s="14" t="s">
        <v>11</v>
      </c>
      <c r="G3" s="14" t="s">
        <v>12</v>
      </c>
      <c r="H3" s="14" t="s">
        <v>13</v>
      </c>
      <c r="I3" s="14" t="s">
        <v>14</v>
      </c>
      <c r="J3" s="14" t="s">
        <v>15</v>
      </c>
      <c r="K3" s="14" t="s">
        <v>32</v>
      </c>
    </row>
    <row r="4" spans="1:12" x14ac:dyDescent="0.25">
      <c r="A4" t="s">
        <v>17</v>
      </c>
      <c r="B4" s="2">
        <v>0</v>
      </c>
      <c r="C4" s="2">
        <v>180000</v>
      </c>
      <c r="D4" s="3">
        <v>0.155</v>
      </c>
      <c r="E4" s="2">
        <v>0</v>
      </c>
      <c r="F4" s="3">
        <v>0.25</v>
      </c>
      <c r="G4" s="3">
        <v>0.15</v>
      </c>
      <c r="H4" s="3">
        <v>0.14099999999999999</v>
      </c>
      <c r="I4" s="3">
        <v>3.0499999999999999E-2</v>
      </c>
      <c r="J4" s="3">
        <v>0.28849999999999998</v>
      </c>
      <c r="K4" s="3">
        <v>0.14000000000000001</v>
      </c>
    </row>
    <row r="5" spans="1:12" x14ac:dyDescent="0.25">
      <c r="A5" t="s">
        <v>18</v>
      </c>
      <c r="B5" s="2">
        <v>180000.01</v>
      </c>
      <c r="C5" s="2">
        <v>360000</v>
      </c>
      <c r="D5" s="3">
        <v>0.18</v>
      </c>
      <c r="E5" s="2">
        <v>4500</v>
      </c>
      <c r="F5" s="3">
        <v>0.23</v>
      </c>
      <c r="G5" s="3">
        <v>0.15</v>
      </c>
      <c r="H5" s="3">
        <v>0.14099999999999999</v>
      </c>
      <c r="I5" s="3">
        <v>3.0499999999999999E-2</v>
      </c>
      <c r="J5" s="3">
        <v>0.27850000000000003</v>
      </c>
      <c r="K5" s="3">
        <v>0.17</v>
      </c>
    </row>
    <row r="6" spans="1:12" x14ac:dyDescent="0.25">
      <c r="A6" t="s">
        <v>19</v>
      </c>
      <c r="B6" s="2">
        <v>360000.01</v>
      </c>
      <c r="C6" s="2">
        <v>720000</v>
      </c>
      <c r="D6" s="3">
        <v>0.19500000000000001</v>
      </c>
      <c r="E6" s="2">
        <v>9900</v>
      </c>
      <c r="F6" s="3">
        <v>0.24</v>
      </c>
      <c r="G6" s="3">
        <v>0.15</v>
      </c>
      <c r="H6" s="3">
        <v>0.1492</v>
      </c>
      <c r="I6" s="3">
        <v>3.2300000000000002E-2</v>
      </c>
      <c r="J6" s="3">
        <v>0.23849999999999999</v>
      </c>
      <c r="K6" s="3">
        <v>0.19</v>
      </c>
    </row>
    <row r="7" spans="1:12" x14ac:dyDescent="0.25">
      <c r="A7" t="s">
        <v>20</v>
      </c>
      <c r="B7" s="2">
        <v>720000.01</v>
      </c>
      <c r="C7" s="2">
        <v>1800000</v>
      </c>
      <c r="D7" s="3">
        <v>0.20499999999999999</v>
      </c>
      <c r="E7" s="2">
        <v>17100</v>
      </c>
      <c r="F7" s="3">
        <v>0.21</v>
      </c>
      <c r="G7" s="3">
        <v>0.15</v>
      </c>
      <c r="H7" s="3">
        <v>0.15740000000000001</v>
      </c>
      <c r="I7" s="3">
        <v>3.4099999999999998E-2</v>
      </c>
      <c r="J7" s="3">
        <v>0.23849999999999999</v>
      </c>
      <c r="K7" s="3">
        <v>0.21</v>
      </c>
    </row>
    <row r="8" spans="1:12" x14ac:dyDescent="0.25">
      <c r="A8" t="s">
        <v>21</v>
      </c>
      <c r="B8" s="2">
        <v>1800000.01</v>
      </c>
      <c r="C8" s="2">
        <v>3600000</v>
      </c>
      <c r="D8" s="3">
        <v>0.23</v>
      </c>
      <c r="E8" s="2">
        <v>62100</v>
      </c>
      <c r="F8" s="3">
        <v>0.23</v>
      </c>
      <c r="G8" s="3">
        <v>0.125</v>
      </c>
      <c r="H8" s="3">
        <v>0.14099999999999999</v>
      </c>
      <c r="I8" s="3">
        <v>3.0499999999999999E-2</v>
      </c>
      <c r="J8" s="3">
        <v>0.23849999999999999</v>
      </c>
      <c r="K8" s="3">
        <v>0.23499999999999999</v>
      </c>
    </row>
    <row r="9" spans="1:12" x14ac:dyDescent="0.25">
      <c r="A9" t="s">
        <v>22</v>
      </c>
      <c r="B9" s="2">
        <v>3600000.01</v>
      </c>
      <c r="C9" s="2">
        <v>4800000</v>
      </c>
      <c r="D9" s="3">
        <v>0.30499999999999999</v>
      </c>
      <c r="E9" s="2">
        <v>540000</v>
      </c>
      <c r="F9" s="3">
        <v>0.35</v>
      </c>
      <c r="G9" s="3">
        <v>0.155</v>
      </c>
      <c r="H9" s="3">
        <v>0.16439999999999999</v>
      </c>
      <c r="I9" s="3">
        <v>3.56E-2</v>
      </c>
      <c r="J9" s="3">
        <v>0.29499999999999998</v>
      </c>
      <c r="K9" s="3">
        <v>0</v>
      </c>
    </row>
    <row r="10" spans="1:12" x14ac:dyDescent="0.25">
      <c r="B10" s="2"/>
      <c r="C10" s="2"/>
      <c r="D10" s="3"/>
      <c r="E10" s="2"/>
      <c r="F10" s="3"/>
      <c r="G10" s="3"/>
      <c r="H10" s="3"/>
      <c r="I10" s="3"/>
      <c r="J10" s="3"/>
      <c r="K10" s="3"/>
    </row>
    <row r="11" spans="1:12" ht="15.75" thickBot="1" x14ac:dyDescent="0.3">
      <c r="A11" s="22" t="s">
        <v>23</v>
      </c>
      <c r="B11" s="23" t="s">
        <v>24</v>
      </c>
      <c r="C11" s="23" t="s">
        <v>25</v>
      </c>
      <c r="D11" s="23" t="s">
        <v>26</v>
      </c>
      <c r="E11" s="23" t="s">
        <v>27</v>
      </c>
      <c r="F11" s="26" t="s">
        <v>28</v>
      </c>
      <c r="G11" s="26" t="s">
        <v>11</v>
      </c>
      <c r="H11" s="26" t="s">
        <v>12</v>
      </c>
      <c r="I11" s="26" t="s">
        <v>13</v>
      </c>
      <c r="J11" s="26" t="s">
        <v>14</v>
      </c>
      <c r="K11" s="26" t="s">
        <v>15</v>
      </c>
      <c r="L11" s="27" t="s">
        <v>32</v>
      </c>
    </row>
    <row r="12" spans="1:12" ht="15.75" thickTop="1" x14ac:dyDescent="0.25">
      <c r="A12" s="4"/>
      <c r="B12" s="5"/>
      <c r="C12" s="12"/>
      <c r="D12" s="5"/>
      <c r="E12" s="5"/>
      <c r="F12" s="12"/>
      <c r="G12" s="12"/>
      <c r="H12" s="12"/>
      <c r="I12" s="12"/>
      <c r="J12" s="12"/>
      <c r="K12" s="12"/>
      <c r="L12" s="12"/>
    </row>
    <row r="14" spans="1:12" x14ac:dyDescent="0.25">
      <c r="A14" t="s">
        <v>23</v>
      </c>
      <c r="B14" t="s">
        <v>24</v>
      </c>
      <c r="C14" t="s">
        <v>25</v>
      </c>
      <c r="D14" t="s">
        <v>26</v>
      </c>
      <c r="E14" t="s">
        <v>27</v>
      </c>
      <c r="F14" s="7" t="s">
        <v>28</v>
      </c>
      <c r="G14" s="7" t="s">
        <v>11</v>
      </c>
      <c r="H14" s="7" t="s">
        <v>12</v>
      </c>
      <c r="I14" s="7" t="s">
        <v>13</v>
      </c>
      <c r="J14" s="7" t="s">
        <v>14</v>
      </c>
      <c r="K14" s="7" t="s">
        <v>15</v>
      </c>
      <c r="L14" s="7" t="s">
        <v>32</v>
      </c>
    </row>
    <row r="15" spans="1:12" x14ac:dyDescent="0.25">
      <c r="A15" s="8"/>
      <c r="B15" s="2"/>
      <c r="C15" s="7"/>
      <c r="D15" s="2"/>
      <c r="E15" s="2"/>
      <c r="F15" s="7"/>
      <c r="G15" s="7"/>
      <c r="H15" s="7"/>
      <c r="I15" s="7"/>
      <c r="J15" s="7"/>
      <c r="K15" s="7"/>
      <c r="L15" s="7"/>
    </row>
  </sheetData>
  <mergeCells count="1">
    <mergeCell ref="A1:L1"/>
  </mergeCells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Lancamentos</vt:lpstr>
      <vt:lpstr>Resumo</vt:lpstr>
      <vt:lpstr>Calc_Simples</vt:lpstr>
      <vt:lpstr>Valor_Guia</vt:lpstr>
      <vt:lpstr>Fator_R</vt:lpstr>
      <vt:lpstr>Empresa</vt:lpstr>
      <vt:lpstr>ANEXO I</vt:lpstr>
      <vt:lpstr>ANEXO II</vt:lpstr>
      <vt:lpstr>ANEXO III</vt:lpstr>
      <vt:lpstr>ANEXO IV</vt:lpstr>
      <vt:lpstr>ANEXO 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Paulo Henrique Figueiredo Leroy Silva</dc:creator>
  <cp:lastModifiedBy>Paulo Henrique Figueiredo Leroy Silva</cp:lastModifiedBy>
  <dcterms:created xsi:type="dcterms:W3CDTF">2025-03-04T18:35:17Z</dcterms:created>
  <dcterms:modified xsi:type="dcterms:W3CDTF">2025-04-17T03:26:26Z</dcterms:modified>
</cp:coreProperties>
</file>